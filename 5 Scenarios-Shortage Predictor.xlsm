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7362437\Desktop\Project\S-MRP\"/>
    </mc:Choice>
  </mc:AlternateContent>
  <xr:revisionPtr revIDLastSave="0" documentId="13_ncr:1_{37BE2B5C-DD88-4EC9-B28E-FE893B38E682}" xr6:coauthVersionLast="47" xr6:coauthVersionMax="47" xr10:uidLastSave="{00000000-0000-0000-0000-000000000000}"/>
  <bookViews>
    <workbookView xWindow="-120" yWindow="-120" windowWidth="29040" windowHeight="15720" tabRatio="995" firstSheet="2" activeTab="5" xr2:uid="{00000000-000D-0000-FFFF-FFFF00000000}"/>
  </bookViews>
  <sheets>
    <sheet name="Scenario 1 - No PO No BPA" sheetId="1" r:id="rId1"/>
    <sheet name="Scenario 2 - BPA Available" sheetId="2" r:id="rId2"/>
    <sheet name="Scenario 3 - Expiry" sheetId="3" r:id="rId3"/>
    <sheet name="Scenario 4 - PO Late" sheetId="4" r:id="rId4"/>
    <sheet name="Scenario 5 - Healthy Stock" sheetId="5" r:id="rId5"/>
    <sheet name="Shortage Calculator" sheetId="7" r:id="rId6"/>
    <sheet name="Sheet1" sheetId="9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7" l="1"/>
  <c r="B8" i="4" l="1"/>
  <c r="B11" i="4" l="1"/>
  <c r="B12" i="4" s="1"/>
  <c r="B5" i="3"/>
  <c r="B13" i="1" l="1"/>
  <c r="E8" i="7"/>
  <c r="B20" i="7" s="1"/>
  <c r="B10" i="7"/>
  <c r="B15" i="7" s="1"/>
  <c r="B12" i="7" s="1"/>
  <c r="B12" i="5"/>
  <c r="B10" i="5"/>
  <c r="E8" i="5"/>
  <c r="B16" i="4"/>
  <c r="B13" i="4"/>
  <c r="E5" i="4"/>
  <c r="E8" i="3"/>
  <c r="B16" i="3" s="1"/>
  <c r="B6" i="3"/>
  <c r="B11" i="2"/>
  <c r="B10" i="2"/>
  <c r="E6" i="2"/>
  <c r="B14" i="2" s="1"/>
  <c r="B9" i="2"/>
  <c r="B12" i="1"/>
  <c r="B11" i="1"/>
  <c r="E8" i="1"/>
  <c r="B16" i="1" s="1"/>
  <c r="B16" i="7" l="1"/>
  <c r="B17" i="4"/>
  <c r="B11" i="5"/>
  <c r="B13" i="5" s="1"/>
  <c r="B13" i="2"/>
  <c r="B15" i="2" s="1"/>
  <c r="B17" i="1"/>
  <c r="B11" i="3"/>
  <c r="B12" i="3" s="1"/>
  <c r="B13" i="3" s="1"/>
  <c r="B15" i="3" s="1"/>
  <c r="B17" i="3" s="1"/>
  <c r="B21" i="7" l="1"/>
  <c r="B17" i="7"/>
  <c r="A1" i="7"/>
  <c r="B24" i="7" s="1"/>
  <c r="B25" i="7" l="1"/>
  <c r="B2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tc={A9436E86-ED82-4D64-95B9-3FBFFD42763C}</author>
  </authors>
  <commentList>
    <comment ref="H5" authorId="0" shapeId="0" xr:uid="{A9436E86-ED82-4D64-95B9-3FBFFD42763C}">
      <text>
        <t>[Threaded comment]
Your version of Excel allows you to read this threaded comment; however, any edits to it will get removed if the file is opened in a newer version of Excel. Learn more: https://go.microsoft.com/fwlink/?linkid=870924
Comment:
    Expiring before consumption</t>
      </text>
    </comment>
  </commentList>
</comments>
</file>

<file path=xl/sharedStrings.xml><?xml version="1.0" encoding="utf-8"?>
<sst xmlns="http://schemas.openxmlformats.org/spreadsheetml/2006/main" count="230" uniqueCount="104">
  <si>
    <t>✅ SCENARIO 1 — NO PO + NO BPA</t>
  </si>
  <si>
    <t>🔵 INPUT</t>
  </si>
  <si>
    <t>StockQty</t>
  </si>
  <si>
    <t>OpenPO</t>
  </si>
  <si>
    <t>BPA</t>
  </si>
  <si>
    <t>VMI</t>
  </si>
  <si>
    <t>AvgDailyConsumption</t>
  </si>
  <si>
    <t>🟡 CALCULATION</t>
  </si>
  <si>
    <t>AvailableSupply</t>
  </si>
  <si>
    <t>DaysOfSupply</t>
  </si>
  <si>
    <t>ShortageDate</t>
  </si>
  <si>
    <t>DeliveryDate</t>
  </si>
  <si>
    <t>LeadTime</t>
  </si>
  <si>
    <t>TriggerDate</t>
  </si>
  <si>
    <t>🔴 FINAL RESULT</t>
  </si>
  <si>
    <t>Scenario</t>
  </si>
  <si>
    <t>1 — No PO + No BPA</t>
  </si>
  <si>
    <t>Reason</t>
  </si>
  <si>
    <t>No supply → RFQ</t>
  </si>
  <si>
    <t>Action</t>
  </si>
  <si>
    <t>✅ Create RFQ</t>
  </si>
  <si>
    <t>✅ SCENARIO 2 — BPA AVAILABLE</t>
  </si>
  <si>
    <t>2 — BPA available</t>
  </si>
  <si>
    <t>BPA → Create PR</t>
  </si>
  <si>
    <t>✅ Create PR</t>
  </si>
  <si>
    <t>✅ SCENARIO 3 — EXPIRY</t>
  </si>
  <si>
    <t>ExpireQty</t>
  </si>
  <si>
    <t>🟢 SPECIAL LOGIC</t>
  </si>
  <si>
    <t>3 — Expiry</t>
  </si>
  <si>
    <t>Stock expires before use → RFQ</t>
  </si>
  <si>
    <t>✅ SCENARIO 4 — PO EXISTS (LATE)</t>
  </si>
  <si>
    <t>PO_PddDate</t>
  </si>
  <si>
    <t>Warning</t>
  </si>
  <si>
    <t>PO arrives AFTER shortage ❗</t>
  </si>
  <si>
    <t>4 — PO exists (late)</t>
  </si>
  <si>
    <t>PO arrives late → Expedite</t>
  </si>
  <si>
    <t>✅ Expedite delivery</t>
  </si>
  <si>
    <t>✅ SCENARIO 5 — HEALTHY STOCK</t>
  </si>
  <si>
    <t>5 — Healthy stock</t>
  </si>
  <si>
    <t>Enough supply</t>
  </si>
  <si>
    <t>✅ No action</t>
  </si>
  <si>
    <t>Data input</t>
  </si>
  <si>
    <t>RFQ leadtime Days</t>
  </si>
  <si>
    <t>BPA leadtime Days</t>
  </si>
  <si>
    <t>PR/PO leadtime Days</t>
  </si>
  <si>
    <t>Supplier leadtime Days</t>
  </si>
  <si>
    <t>SafetyDays</t>
  </si>
  <si>
    <t>93112-01</t>
  </si>
  <si>
    <t>XCA003786</t>
  </si>
  <si>
    <t>XTP000102</t>
  </si>
  <si>
    <t>XTP000200</t>
  </si>
  <si>
    <t xml:space="preserve">ExpiryDate </t>
  </si>
  <si>
    <t xml:space="preserve">UsableStock </t>
  </si>
  <si>
    <t>SCENARIO 1 — NO PO + NO BPA</t>
  </si>
  <si>
    <t>SCENARIO 2 — BPA AVAILABLE</t>
  </si>
  <si>
    <t>SCENARIO 3 — EXPIRY</t>
  </si>
  <si>
    <t>SCENARIO 4 — PO EXISTS (LATE)</t>
  </si>
  <si>
    <t>SCENARIO 5 — HEALTHY STOCK</t>
  </si>
  <si>
    <t>Create RFQ</t>
  </si>
  <si>
    <t>Create PR</t>
  </si>
  <si>
    <t xml:space="preserve"> Expedite delivery</t>
  </si>
  <si>
    <t>No Action</t>
  </si>
  <si>
    <t>Lead time</t>
  </si>
  <si>
    <t>RFQ + BPA + PR + Supplier</t>
  </si>
  <si>
    <t>PR + Supplier</t>
  </si>
  <si>
    <t>Supplier</t>
  </si>
  <si>
    <t>-</t>
  </si>
  <si>
    <t xml:space="preserve"> You must do</t>
  </si>
  <si>
    <t>Create RFQ, Create BPA, Create PR, Supplier delivers</t>
  </si>
  <si>
    <t>Business meaning</t>
  </si>
  <si>
    <t>This is the worst-case / starting point (We need to start procurement from scratch)</t>
  </si>
  <si>
    <t>You skip RFQ + BPA creation | Create PR, Supplier fulfills</t>
  </si>
  <si>
    <t>Faster than Scenario 1 (Supplier already approved)</t>
  </si>
  <si>
    <t>Hidden shortage (Real usable supply = LOWER)</t>
  </si>
  <si>
    <t xml:space="preserve"> Create RFQ immediately | You treat it like NO SUPPLY EXISTS</t>
  </si>
  <si>
    <t>You HAVE supply coming — but it's TOO LATE</t>
  </si>
  <si>
    <t>Monitor only</t>
  </si>
  <si>
    <t>Early warning, not yet shortage</t>
  </si>
  <si>
    <t xml:space="preserve"> BPA</t>
  </si>
  <si>
    <t>XCA000080</t>
  </si>
  <si>
    <t xml:space="preserve"> IssuanceFreq</t>
  </si>
  <si>
    <r>
      <t xml:space="preserve">if poPddDate is NULL then </t>
    </r>
    <r>
      <rPr>
        <b/>
        <i/>
        <sz val="11"/>
        <color theme="1"/>
        <rFont val="Calibri"/>
        <family val="2"/>
        <scheme val="minor"/>
      </rPr>
      <t>TriggerDate</t>
    </r>
    <r>
      <rPr>
        <i/>
        <sz val="11"/>
        <color theme="1"/>
        <rFont val="Calibri"/>
        <family val="2"/>
        <scheme val="minor"/>
      </rPr>
      <t xml:space="preserve"> = Today</t>
    </r>
  </si>
  <si>
    <t>IssuanceFreq</t>
  </si>
  <si>
    <t>Review Planning Profile</t>
  </si>
  <si>
    <t>Status</t>
  </si>
  <si>
    <t>Expedite delivery + Review expired stock</t>
  </si>
  <si>
    <t>Monitor (Exclude from Report)</t>
  </si>
  <si>
    <t>Monitor (Include from Report)</t>
  </si>
  <si>
    <t xml:space="preserve"> NO PO + NO BPA</t>
  </si>
  <si>
    <t xml:space="preserve"> BPA AVAILABLE</t>
  </si>
  <si>
    <t xml:space="preserve"> EXPIRY</t>
  </si>
  <si>
    <t xml:space="preserve"> PO EXISTS (LATE)</t>
  </si>
  <si>
    <t xml:space="preserve"> LOW STOCK</t>
  </si>
  <si>
    <t xml:space="preserve"> EXPIRY + PO LATE</t>
  </si>
  <si>
    <t xml:space="preserve"> HEALTHY STOCK</t>
  </si>
  <si>
    <t>SCENARIO 1</t>
  </si>
  <si>
    <t>SCENARIO 2</t>
  </si>
  <si>
    <t>SCENARIO 3</t>
  </si>
  <si>
    <t>SCENARIO 4</t>
  </si>
  <si>
    <t>SCENARIO 5</t>
  </si>
  <si>
    <t>SCENARIO 6</t>
  </si>
  <si>
    <t>SCENARIO 7</t>
  </si>
  <si>
    <t>SCENARIO 8</t>
  </si>
  <si>
    <t xml:space="preserve"> EXPIRED + NO PROFILE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</si>
</sst>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3409]dd\-mmm\-yy;@"/>
    <numFmt numFmtId="165" formatCode="yyyy\-mm\-dd;@"/>
  </numFmts>
  <fonts count="1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4"/>
      <color rgb="FFFFFFFF"/>
      <name val="Aptos Narrow"/>
      <family val="2"/>
    </font>
    <font>
      <b/>
      <sz val="11"/>
      <name val="Aptos Narrow"/>
      <family val="2"/>
    </font>
    <font>
      <sz val="11"/>
      <name val="Calibri"/>
      <family val="2"/>
      <scheme val="minor"/>
    </font>
    <font>
      <sz val="11"/>
      <name val="Aptos Narrow"/>
      <family val="2"/>
    </font>
    <font>
      <sz val="11"/>
      <color rgb="FF000000"/>
      <name val="Aptos Narrow"/>
      <family val="2"/>
    </font>
    <font>
      <b/>
      <sz val="11"/>
      <color rgb="FF008000"/>
      <name val="Aptos Narrow"/>
      <family val="2"/>
    </font>
    <font>
      <b/>
      <sz val="14"/>
      <color rgb="FFFFFFFF"/>
      <name val="Aptos Narrow"/>
      <family val="2"/>
    </font>
    <font>
      <sz val="11"/>
      <name val="Calibri"/>
      <family val="2"/>
      <scheme val="minor"/>
    </font>
    <font>
      <sz val="11"/>
      <name val="Aptos Narrow"/>
      <family val="2"/>
    </font>
    <font>
      <b/>
      <sz val="11"/>
      <color rgb="FF008000"/>
      <name val="Aptos Narrow"/>
      <family val="2"/>
    </font>
    <font>
      <sz val="8"/>
      <name val="Aptos Narrow"/>
      <family val="2"/>
    </font>
    <font>
      <b/>
      <sz val="11"/>
      <name val="Aptos Narrow"/>
      <family val="2"/>
    </font>
    <font>
      <sz val="11"/>
      <color theme="9"/>
      <name val="Calibri"/>
      <family val="2"/>
      <scheme val="minor"/>
    </font>
    <font>
      <sz val="11"/>
      <color theme="9"/>
      <name val="Aptos Narrow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BDD7EE"/>
      </patternFill>
    </fill>
    <fill>
      <patternFill patternType="solid">
        <fgColor rgb="FFFFF2CC"/>
      </patternFill>
    </fill>
    <fill>
      <patternFill patternType="solid">
        <fgColor rgb="FFF8CBAD"/>
      </patternFill>
    </fill>
    <fill>
      <patternFill patternType="solid">
        <fgColor rgb="FFFFFFFF"/>
      </patternFill>
    </fill>
    <fill>
      <patternFill patternType="solid">
        <fgColor rgb="FFE2D5F2"/>
      </patternFill>
    </fill>
    <fill>
      <patternFill patternType="solid">
        <fgColor rgb="FFC6EFCE"/>
      </patternFill>
    </fill>
  </fills>
  <borders count="18">
    <border>
      <left/>
      <right/>
      <top/>
      <bottom/>
      <diagonal/>
    </border>
    <border>
      <left/>
      <right/>
      <top/>
      <bottom/>
      <diagonal/>
    </border>
    <border>
      <left style="thin">
        <color rgb="FFD0D0D0"/>
      </left>
      <right/>
      <top style="thin">
        <color rgb="FFD0D0D0"/>
      </top>
      <bottom/>
      <diagonal/>
    </border>
    <border>
      <left/>
      <right style="thin">
        <color rgb="FFD0D0D0"/>
      </right>
      <top style="thin">
        <color rgb="FFD0D0D0"/>
      </top>
      <bottom/>
      <diagonal/>
    </border>
    <border>
      <left style="thin">
        <color rgb="FFD0D0D0"/>
      </left>
      <right/>
      <top/>
      <bottom/>
      <diagonal/>
    </border>
    <border>
      <left/>
      <right style="thin">
        <color rgb="FFD0D0D0"/>
      </right>
      <top/>
      <bottom/>
      <diagonal/>
    </border>
    <border>
      <left style="thin">
        <color rgb="FFD0D0D0"/>
      </left>
      <right/>
      <top/>
      <bottom style="thin">
        <color rgb="FFD0D0D0"/>
      </bottom>
      <diagonal/>
    </border>
    <border>
      <left/>
      <right style="thin">
        <color rgb="FFD0D0D0"/>
      </right>
      <top/>
      <bottom style="thin">
        <color rgb="FFD0D0D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/>
      <diagonal/>
    </border>
    <border>
      <left/>
      <right style="thin">
        <color rgb="FF808080"/>
      </right>
      <top/>
      <bottom/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rgb="FFD3D3D3"/>
      </bottom>
      <diagonal/>
    </border>
    <border>
      <left/>
      <right/>
      <top/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1">
      <alignment vertical="top"/>
    </xf>
  </cellStyleXfs>
  <cellXfs count="124">
    <xf numFmtId="0" fontId="0" fillId="0" borderId="1" xfId="0">
      <alignment vertical="top"/>
    </xf>
    <xf numFmtId="0" fontId="5" fillId="0" borderId="4" xfId="0" applyFont="1" applyBorder="1" applyAlignment="1">
      <alignment horizontal="left" vertical="top"/>
    </xf>
    <xf numFmtId="0" fontId="5" fillId="0" borderId="5" xfId="0" applyFont="1" applyBorder="1" applyAlignment="1">
      <alignment horizontal="righ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right" vertical="top"/>
    </xf>
    <xf numFmtId="0" fontId="6" fillId="6" borderId="0" xfId="0" applyFont="1" applyFill="1" applyBorder="1">
      <alignment vertical="top"/>
    </xf>
    <xf numFmtId="0" fontId="5" fillId="0" borderId="9" xfId="0" applyFont="1" applyBorder="1" applyAlignment="1">
      <alignment horizontal="left" vertical="top"/>
    </xf>
    <xf numFmtId="0" fontId="5" fillId="0" borderId="10" xfId="0" applyFont="1" applyBorder="1" applyAlignment="1">
      <alignment horizontal="right" vertical="top"/>
    </xf>
    <xf numFmtId="0" fontId="5" fillId="0" borderId="11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0" fontId="4" fillId="0" borderId="5" xfId="0" applyFont="1" applyBorder="1" applyAlignment="1">
      <alignment horizontal="right" vertical="top"/>
    </xf>
    <xf numFmtId="0" fontId="4" fillId="0" borderId="6" xfId="0" applyFont="1" applyBorder="1" applyAlignment="1">
      <alignment horizontal="left" vertical="top"/>
    </xf>
    <xf numFmtId="0" fontId="4" fillId="0" borderId="7" xfId="0" applyFont="1" applyBorder="1" applyAlignment="1">
      <alignment horizontal="right" vertical="top"/>
    </xf>
    <xf numFmtId="0" fontId="7" fillId="0" borderId="7" xfId="0" applyFont="1" applyBorder="1" applyAlignment="1">
      <alignment horizontal="right" vertical="top"/>
    </xf>
    <xf numFmtId="0" fontId="4" fillId="0" borderId="13" xfId="0" applyFont="1" applyBorder="1" applyAlignment="1">
      <alignment horizontal="left" vertical="top"/>
    </xf>
    <xf numFmtId="0" fontId="4" fillId="0" borderId="13" xfId="0" applyFont="1" applyBorder="1" applyAlignment="1">
      <alignment horizontal="right" vertical="top"/>
    </xf>
    <xf numFmtId="0" fontId="5" fillId="0" borderId="13" xfId="0" applyFont="1" applyBorder="1" applyAlignment="1">
      <alignment horizontal="right" vertical="top"/>
    </xf>
    <xf numFmtId="0" fontId="7" fillId="0" borderId="13" xfId="0" applyFont="1" applyBorder="1" applyAlignment="1">
      <alignment horizontal="right" vertical="top"/>
    </xf>
    <xf numFmtId="0" fontId="5" fillId="0" borderId="13" xfId="0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0" fontId="5" fillId="0" borderId="14" xfId="0" applyFont="1" applyBorder="1" applyAlignment="1">
      <alignment horizontal="right" vertical="top"/>
    </xf>
    <xf numFmtId="0" fontId="9" fillId="0" borderId="4" xfId="0" applyFont="1" applyBorder="1" applyAlignment="1">
      <alignment vertical="top"/>
    </xf>
    <xf numFmtId="0" fontId="4" fillId="0" borderId="5" xfId="0" applyFont="1" applyBorder="1" applyAlignment="1">
      <alignment vertical="top"/>
    </xf>
    <xf numFmtId="0" fontId="4" fillId="0" borderId="1" xfId="0" applyFont="1" applyBorder="1" applyAlignment="1">
      <alignment horizontal="right" vertical="top"/>
    </xf>
    <xf numFmtId="16" fontId="5" fillId="0" borderId="5" xfId="0" applyNumberFormat="1" applyFont="1" applyBorder="1" applyAlignment="1">
      <alignment horizontal="right" vertical="top"/>
    </xf>
    <xf numFmtId="0" fontId="9" fillId="0" borderId="13" xfId="0" applyFont="1" applyBorder="1" applyAlignment="1">
      <alignment horizontal="left" vertical="top"/>
    </xf>
    <xf numFmtId="0" fontId="9" fillId="0" borderId="13" xfId="0" applyFont="1" applyBorder="1" applyAlignment="1">
      <alignment vertical="top"/>
    </xf>
    <xf numFmtId="0" fontId="10" fillId="0" borderId="6" xfId="0" applyFont="1" applyBorder="1" applyAlignment="1">
      <alignment horizontal="left" vertical="top"/>
    </xf>
    <xf numFmtId="0" fontId="9" fillId="0" borderId="1" xfId="0" applyFont="1" applyBorder="1" applyAlignment="1">
      <alignment horizontal="left" vertical="top"/>
    </xf>
    <xf numFmtId="164" fontId="5" fillId="0" borderId="5" xfId="0" applyNumberFormat="1" applyFont="1" applyBorder="1" applyAlignment="1">
      <alignment horizontal="right" vertical="top"/>
    </xf>
    <xf numFmtId="164" fontId="5" fillId="0" borderId="7" xfId="0" applyNumberFormat="1" applyFont="1" applyBorder="1" applyAlignment="1">
      <alignment horizontal="right" vertical="top"/>
    </xf>
    <xf numFmtId="16" fontId="5" fillId="0" borderId="7" xfId="0" applyNumberFormat="1" applyFont="1" applyBorder="1" applyAlignment="1">
      <alignment horizontal="right" vertical="top"/>
    </xf>
    <xf numFmtId="16" fontId="4" fillId="0" borderId="1" xfId="0" applyNumberFormat="1" applyFont="1" applyBorder="1" applyAlignment="1">
      <alignment horizontal="right" vertical="top"/>
    </xf>
    <xf numFmtId="0" fontId="4" fillId="0" borderId="1" xfId="0" applyNumberFormat="1" applyFont="1" applyBorder="1" applyAlignment="1">
      <alignment vertical="top"/>
    </xf>
    <xf numFmtId="16" fontId="4" fillId="0" borderId="13" xfId="0" applyNumberFormat="1" applyFont="1" applyBorder="1" applyAlignment="1">
      <alignment horizontal="right" vertical="top"/>
    </xf>
    <xf numFmtId="0" fontId="5" fillId="0" borderId="1" xfId="0" applyFont="1" applyBorder="1" applyAlignment="1">
      <alignment horizontal="left" vertical="top"/>
    </xf>
    <xf numFmtId="0" fontId="5" fillId="0" borderId="1" xfId="0" applyFont="1" applyBorder="1" applyAlignment="1">
      <alignment horizontal="right" vertical="top"/>
    </xf>
    <xf numFmtId="0" fontId="10" fillId="0" borderId="1" xfId="0" applyFont="1" applyBorder="1" applyAlignment="1">
      <alignment horizontal="left" vertical="top"/>
    </xf>
    <xf numFmtId="16" fontId="5" fillId="0" borderId="1" xfId="0" applyNumberFormat="1" applyFont="1" applyBorder="1" applyAlignment="1">
      <alignment horizontal="right" vertical="top"/>
    </xf>
    <xf numFmtId="0" fontId="10" fillId="0" borderId="13" xfId="0" applyFont="1" applyBorder="1" applyAlignment="1">
      <alignment horizontal="left" vertical="top"/>
    </xf>
    <xf numFmtId="0" fontId="11" fillId="0" borderId="12" xfId="0" applyFont="1" applyBorder="1" applyAlignment="1">
      <alignment horizontal="right" vertical="top"/>
    </xf>
    <xf numFmtId="0" fontId="11" fillId="0" borderId="7" xfId="0" applyFont="1" applyBorder="1" applyAlignment="1">
      <alignment horizontal="right" vertical="top"/>
    </xf>
    <xf numFmtId="0" fontId="11" fillId="0" borderId="13" xfId="0" applyFont="1" applyBorder="1" applyAlignment="1">
      <alignment horizontal="right" vertical="top"/>
    </xf>
    <xf numFmtId="0" fontId="5" fillId="0" borderId="14" xfId="0" applyFont="1" applyBorder="1" applyAlignment="1" applyProtection="1">
      <alignment horizontal="right" vertical="top"/>
      <protection locked="0"/>
    </xf>
    <xf numFmtId="0" fontId="5" fillId="0" borderId="4" xfId="0" applyFont="1" applyBorder="1" applyAlignment="1" applyProtection="1">
      <alignment horizontal="left" vertical="top"/>
    </xf>
    <xf numFmtId="0" fontId="5" fillId="0" borderId="14" xfId="0" applyFont="1" applyBorder="1" applyAlignment="1" applyProtection="1">
      <alignment horizontal="left" vertical="top"/>
    </xf>
    <xf numFmtId="0" fontId="5" fillId="0" borderId="14" xfId="0" applyFont="1" applyBorder="1" applyAlignment="1" applyProtection="1">
      <alignment horizontal="right" vertical="top"/>
    </xf>
    <xf numFmtId="0" fontId="5" fillId="0" borderId="5" xfId="0" applyFont="1" applyBorder="1" applyAlignment="1" applyProtection="1">
      <alignment horizontal="right" vertical="top"/>
    </xf>
    <xf numFmtId="0" fontId="10" fillId="0" borderId="4" xfId="0" applyFont="1" applyBorder="1" applyAlignment="1" applyProtection="1">
      <alignment horizontal="left" vertical="top"/>
    </xf>
    <xf numFmtId="0" fontId="9" fillId="0" borderId="13" xfId="0" applyFont="1" applyBorder="1" applyAlignment="1" applyProtection="1">
      <alignment horizontal="left" vertical="top"/>
    </xf>
    <xf numFmtId="0" fontId="5" fillId="0" borderId="1" xfId="0" applyFont="1" applyBorder="1" applyAlignment="1" applyProtection="1">
      <alignment horizontal="left" vertical="top"/>
    </xf>
    <xf numFmtId="0" fontId="5" fillId="0" borderId="1" xfId="0" applyFont="1" applyBorder="1" applyAlignment="1" applyProtection="1">
      <alignment horizontal="right" vertical="top"/>
    </xf>
    <xf numFmtId="16" fontId="5" fillId="0" borderId="5" xfId="0" applyNumberFormat="1" applyFont="1" applyBorder="1" applyAlignment="1" applyProtection="1">
      <alignment horizontal="right" vertical="top"/>
    </xf>
    <xf numFmtId="0" fontId="10" fillId="0" borderId="5" xfId="0" applyFont="1" applyBorder="1" applyAlignment="1" applyProtection="1">
      <alignment horizontal="right" vertical="top" wrapText="1"/>
    </xf>
    <xf numFmtId="0" fontId="5" fillId="0" borderId="6" xfId="0" applyFont="1" applyBorder="1" applyAlignment="1" applyProtection="1">
      <alignment horizontal="left" vertical="top"/>
    </xf>
    <xf numFmtId="0" fontId="5" fillId="0" borderId="9" xfId="0" applyFont="1" applyBorder="1" applyAlignment="1" applyProtection="1">
      <alignment horizontal="left" vertical="top"/>
    </xf>
    <xf numFmtId="0" fontId="12" fillId="0" borderId="10" xfId="0" applyFont="1" applyBorder="1" applyAlignment="1" applyProtection="1">
      <alignment horizontal="right" vertical="top"/>
    </xf>
    <xf numFmtId="0" fontId="5" fillId="0" borderId="10" xfId="0" applyFont="1" applyBorder="1" applyAlignment="1" applyProtection="1">
      <alignment horizontal="right" vertical="top"/>
    </xf>
    <xf numFmtId="0" fontId="5" fillId="0" borderId="11" xfId="0" applyFont="1" applyBorder="1" applyAlignment="1" applyProtection="1">
      <alignment horizontal="left" vertical="top"/>
    </xf>
    <xf numFmtId="0" fontId="7" fillId="0" borderId="12" xfId="0" applyFont="1" applyBorder="1" applyAlignment="1" applyProtection="1">
      <alignment horizontal="right" vertical="top"/>
    </xf>
    <xf numFmtId="0" fontId="5" fillId="0" borderId="5" xfId="0" applyFont="1" applyBorder="1" applyAlignment="1" applyProtection="1">
      <alignment horizontal="right" vertical="top"/>
      <protection locked="0"/>
    </xf>
    <xf numFmtId="16" fontId="5" fillId="0" borderId="5" xfId="0" applyNumberFormat="1" applyFont="1" applyBorder="1" applyAlignment="1" applyProtection="1">
      <alignment horizontal="right" vertical="top"/>
      <protection locked="0"/>
    </xf>
    <xf numFmtId="0" fontId="5" fillId="0" borderId="7" xfId="0" applyFont="1" applyBorder="1" applyAlignment="1" applyProtection="1">
      <alignment horizontal="right" vertical="top"/>
      <protection locked="0"/>
    </xf>
    <xf numFmtId="14" fontId="5" fillId="0" borderId="5" xfId="0" applyNumberFormat="1" applyFont="1" applyBorder="1" applyAlignment="1" applyProtection="1">
      <alignment horizontal="right" vertical="top"/>
      <protection locked="0"/>
    </xf>
    <xf numFmtId="0" fontId="5" fillId="0" borderId="17" xfId="0" applyFont="1" applyBorder="1" applyAlignment="1" applyProtection="1">
      <alignment horizontal="left" vertical="top"/>
    </xf>
    <xf numFmtId="0" fontId="10" fillId="0" borderId="17" xfId="0" applyFont="1" applyFill="1" applyBorder="1" applyAlignment="1" applyProtection="1">
      <alignment horizontal="left" vertical="top"/>
    </xf>
    <xf numFmtId="0" fontId="10" fillId="0" borderId="17" xfId="0" applyFont="1" applyBorder="1" applyAlignment="1" applyProtection="1">
      <alignment horizontal="left" vertical="top"/>
    </xf>
    <xf numFmtId="0" fontId="13" fillId="0" borderId="17" xfId="0" applyFont="1" applyBorder="1" applyAlignment="1" applyProtection="1">
      <alignment horizontal="left" vertical="top"/>
    </xf>
    <xf numFmtId="0" fontId="13" fillId="0" borderId="17" xfId="0" applyFont="1" applyFill="1" applyBorder="1" applyAlignment="1" applyProtection="1">
      <alignment horizontal="left" vertical="top"/>
    </xf>
    <xf numFmtId="14" fontId="0" fillId="0" borderId="1" xfId="0" applyNumberFormat="1">
      <alignment vertical="top"/>
    </xf>
    <xf numFmtId="0" fontId="0" fillId="0" borderId="1" xfId="0" applyAlignment="1"/>
    <xf numFmtId="0" fontId="0" fillId="0" borderId="1" xfId="0" applyAlignment="1">
      <alignment horizontal="right"/>
    </xf>
    <xf numFmtId="0" fontId="1" fillId="0" borderId="1" xfId="0" applyFont="1">
      <alignment vertical="top"/>
    </xf>
    <xf numFmtId="0" fontId="14" fillId="0" borderId="13" xfId="0" applyFont="1" applyBorder="1" applyAlignment="1">
      <alignment vertical="top"/>
    </xf>
    <xf numFmtId="0" fontId="14" fillId="0" borderId="13" xfId="0" applyFont="1" applyBorder="1" applyAlignment="1">
      <alignment horizontal="right" vertical="top"/>
    </xf>
    <xf numFmtId="16" fontId="15" fillId="0" borderId="5" xfId="0" applyNumberFormat="1" applyFont="1" applyBorder="1" applyAlignment="1">
      <alignment horizontal="right" vertical="top"/>
    </xf>
    <xf numFmtId="0" fontId="14" fillId="0" borderId="7" xfId="0" applyFont="1" applyBorder="1" applyAlignment="1">
      <alignment horizontal="right" vertical="top"/>
    </xf>
    <xf numFmtId="0" fontId="14" fillId="0" borderId="1" xfId="0" applyFont="1" applyBorder="1" applyAlignment="1">
      <alignment horizontal="right" vertical="top"/>
    </xf>
    <xf numFmtId="16" fontId="14" fillId="0" borderId="5" xfId="0" applyNumberFormat="1" applyFont="1" applyBorder="1" applyAlignment="1">
      <alignment vertical="top"/>
    </xf>
    <xf numFmtId="14" fontId="16" fillId="0" borderId="1" xfId="0" applyNumberFormat="1" applyFont="1">
      <alignment vertical="top"/>
    </xf>
    <xf numFmtId="0" fontId="5" fillId="0" borderId="1" xfId="0" applyFont="1" applyFill="1" applyBorder="1" applyAlignment="1" applyProtection="1">
      <alignment horizontal="left" vertical="top"/>
    </xf>
    <xf numFmtId="14" fontId="16" fillId="0" borderId="1" xfId="0" applyNumberFormat="1" applyFont="1" applyProtection="1">
      <alignment vertical="top"/>
    </xf>
    <xf numFmtId="0" fontId="6" fillId="6" borderId="0" xfId="0" applyFont="1" applyFill="1" applyBorder="1" applyProtection="1">
      <alignment vertical="top"/>
    </xf>
    <xf numFmtId="0" fontId="0" fillId="0" borderId="1" xfId="0" applyProtection="1">
      <alignment vertical="top"/>
    </xf>
    <xf numFmtId="0" fontId="0" fillId="0" borderId="1" xfId="0" applyProtection="1">
      <alignment vertical="top"/>
    </xf>
    <xf numFmtId="1" fontId="5" fillId="0" borderId="5" xfId="0" applyNumberFormat="1" applyFont="1" applyBorder="1" applyAlignment="1" applyProtection="1">
      <alignment horizontal="right" vertical="top"/>
      <protection locked="0"/>
    </xf>
    <xf numFmtId="165" fontId="5" fillId="0" borderId="5" xfId="0" applyNumberFormat="1" applyFont="1" applyBorder="1" applyAlignment="1" applyProtection="1">
      <alignment horizontal="right" vertical="top"/>
      <protection locked="0"/>
    </xf>
    <xf numFmtId="0" fontId="5" fillId="0" borderId="4" xfId="0" applyFont="1" applyFill="1" applyBorder="1" applyAlignment="1" applyProtection="1">
      <alignment horizontal="left" vertical="top"/>
    </xf>
    <xf numFmtId="0" fontId="3" fillId="0" borderId="4" xfId="0" applyFont="1" applyBorder="1" applyAlignment="1" applyProtection="1">
      <alignment horizontal="left" vertical="top"/>
    </xf>
    <xf numFmtId="0" fontId="3" fillId="5" borderId="8" xfId="0" applyFont="1" applyFill="1" applyBorder="1" applyAlignment="1">
      <alignment horizontal="left" vertical="center"/>
    </xf>
    <xf numFmtId="0" fontId="6" fillId="6" borderId="0" xfId="0" applyFont="1" applyFill="1" applyBorder="1">
      <alignment vertical="top"/>
    </xf>
    <xf numFmtId="0" fontId="3" fillId="7" borderId="14" xfId="0" applyFont="1" applyFill="1" applyBorder="1" applyAlignment="1">
      <alignment horizontal="center" vertical="top"/>
    </xf>
    <xf numFmtId="0" fontId="0" fillId="0" borderId="16" xfId="0" applyBorder="1" applyAlignment="1">
      <alignment horizontal="center" vertical="top"/>
    </xf>
    <xf numFmtId="0" fontId="8" fillId="2" borderId="0" xfId="0" applyFont="1" applyFill="1" applyBorder="1" applyAlignment="1">
      <alignment horizontal="center" vertical="top"/>
    </xf>
    <xf numFmtId="0" fontId="0" fillId="0" borderId="1" xfId="0">
      <alignment vertical="top"/>
    </xf>
    <xf numFmtId="0" fontId="3" fillId="3" borderId="2" xfId="0" applyFont="1" applyFill="1" applyBorder="1" applyAlignment="1">
      <alignment horizontal="left" vertical="top"/>
    </xf>
    <xf numFmtId="0" fontId="4" fillId="0" borderId="3" xfId="0" applyFont="1" applyBorder="1">
      <alignment vertical="top"/>
    </xf>
    <xf numFmtId="0" fontId="3" fillId="4" borderId="2" xfId="0" applyFont="1" applyFill="1" applyBorder="1" applyAlignment="1">
      <alignment horizontal="left" vertical="top"/>
    </xf>
    <xf numFmtId="0" fontId="3" fillId="7" borderId="2" xfId="0" applyFont="1" applyFill="1" applyBorder="1" applyAlignment="1">
      <alignment horizontal="left" vertical="top"/>
    </xf>
    <xf numFmtId="0" fontId="3" fillId="5" borderId="2" xfId="0" applyFont="1" applyFill="1" applyBorder="1" applyAlignment="1">
      <alignment horizontal="left" vertical="top"/>
    </xf>
    <xf numFmtId="0" fontId="5" fillId="0" borderId="3" xfId="0" applyFont="1" applyBorder="1" applyAlignment="1">
      <alignment horizontal="right" vertical="top"/>
    </xf>
    <xf numFmtId="0" fontId="0" fillId="0" borderId="15" xfId="0" applyBorder="1" applyAlignment="1">
      <alignment horizontal="center" vertical="top"/>
    </xf>
    <xf numFmtId="0" fontId="4" fillId="0" borderId="13" xfId="0" applyFont="1" applyBorder="1" applyAlignment="1">
      <alignment horizontal="left" vertical="top"/>
    </xf>
    <xf numFmtId="0" fontId="4" fillId="0" borderId="13" xfId="0" applyFont="1" applyBorder="1" applyAlignment="1">
      <alignment horizontal="right" vertical="top"/>
    </xf>
    <xf numFmtId="0" fontId="3" fillId="3" borderId="13" xfId="0" applyFont="1" applyFill="1" applyBorder="1" applyAlignment="1">
      <alignment horizontal="left" vertical="top"/>
    </xf>
    <xf numFmtId="0" fontId="4" fillId="0" borderId="13" xfId="0" applyFont="1" applyBorder="1">
      <alignment vertical="top"/>
    </xf>
    <xf numFmtId="0" fontId="3" fillId="4" borderId="13" xfId="0" applyFont="1" applyFill="1" applyBorder="1" applyAlignment="1">
      <alignment horizontal="left" vertical="top"/>
    </xf>
    <xf numFmtId="0" fontId="5" fillId="0" borderId="13" xfId="0" applyFont="1" applyBorder="1" applyAlignment="1">
      <alignment horizontal="right" vertical="top"/>
    </xf>
    <xf numFmtId="0" fontId="3" fillId="5" borderId="13" xfId="0" applyFont="1" applyFill="1" applyBorder="1" applyAlignment="1">
      <alignment horizontal="left" vertical="top"/>
    </xf>
    <xf numFmtId="0" fontId="1" fillId="0" borderId="15" xfId="0" applyFont="1" applyBorder="1" applyAlignment="1">
      <alignment horizontal="center" vertical="top"/>
    </xf>
    <xf numFmtId="0" fontId="3" fillId="3" borderId="13" xfId="0" applyFont="1" applyFill="1" applyBorder="1">
      <alignment vertical="top"/>
    </xf>
    <xf numFmtId="0" fontId="3" fillId="4" borderId="13" xfId="0" applyFont="1" applyFill="1" applyBorder="1">
      <alignment vertical="top"/>
    </xf>
    <xf numFmtId="0" fontId="3" fillId="8" borderId="13" xfId="0" applyFont="1" applyFill="1" applyBorder="1">
      <alignment vertical="top"/>
    </xf>
    <xf numFmtId="0" fontId="3" fillId="5" borderId="13" xfId="0" applyFont="1" applyFill="1" applyBorder="1">
      <alignment vertical="top"/>
    </xf>
    <xf numFmtId="0" fontId="8" fillId="2" borderId="0" xfId="0" applyFont="1" applyFill="1" applyBorder="1" applyAlignment="1">
      <alignment horizontal="center" vertical="center"/>
    </xf>
    <xf numFmtId="0" fontId="3" fillId="5" borderId="8" xfId="0" applyFont="1" applyFill="1" applyBorder="1" applyAlignment="1" applyProtection="1">
      <alignment horizontal="left" vertical="center"/>
    </xf>
    <xf numFmtId="0" fontId="6" fillId="6" borderId="0" xfId="0" applyFont="1" applyFill="1" applyBorder="1" applyProtection="1">
      <alignment vertical="top"/>
    </xf>
    <xf numFmtId="0" fontId="2" fillId="2" borderId="0" xfId="0" applyFont="1" applyFill="1" applyBorder="1" applyAlignment="1" applyProtection="1">
      <alignment horizontal="center" vertical="top"/>
    </xf>
    <xf numFmtId="0" fontId="0" fillId="0" borderId="1" xfId="0" applyProtection="1">
      <alignment vertical="top"/>
    </xf>
    <xf numFmtId="0" fontId="0" fillId="0" borderId="16" xfId="0" applyBorder="1" applyAlignment="1" applyProtection="1">
      <alignment horizontal="center" vertical="top"/>
    </xf>
    <xf numFmtId="0" fontId="3" fillId="7" borderId="14" xfId="0" applyFont="1" applyFill="1" applyBorder="1" applyAlignment="1" applyProtection="1">
      <alignment horizontal="center" vertical="top"/>
    </xf>
    <xf numFmtId="0" fontId="3" fillId="3" borderId="2" xfId="0" applyFont="1" applyFill="1" applyBorder="1" applyAlignment="1" applyProtection="1">
      <alignment horizontal="left" vertical="top"/>
    </xf>
    <xf numFmtId="0" fontId="4" fillId="0" borderId="3" xfId="0" applyFont="1" applyBorder="1" applyProtection="1">
      <alignment vertical="top"/>
    </xf>
    <xf numFmtId="0" fontId="3" fillId="4" borderId="2" xfId="0" applyFont="1" applyFill="1" applyBorder="1" applyAlignment="1" applyProtection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23244</xdr:colOff>
      <xdr:row>9</xdr:row>
      <xdr:rowOff>27034</xdr:rowOff>
    </xdr:from>
    <xdr:to>
      <xdr:col>5</xdr:col>
      <xdr:colOff>0</xdr:colOff>
      <xdr:row>11</xdr:row>
      <xdr:rowOff>95250</xdr:rowOff>
    </xdr:to>
    <xdr:sp macro="[0]!Sheet6.ClearInputData" textlink="">
      <xdr:nvSpPr>
        <xdr:cNvPr id="2" name="Rectangle 1">
          <a:extLst>
            <a:ext uri="{FF2B5EF4-FFF2-40B4-BE49-F238E27FC236}">
              <a16:creationId xmlns:a16="http://schemas.microsoft.com/office/drawing/2014/main" id="{E77CCFE9-C540-DBD1-9D57-5DEF74A68E66}"/>
            </a:ext>
          </a:extLst>
        </xdr:cNvPr>
        <xdr:cNvSpPr/>
      </xdr:nvSpPr>
      <xdr:spPr>
        <a:xfrm>
          <a:off x="4045725" y="1792822"/>
          <a:ext cx="2028294" cy="449216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kern="1200"/>
            <a:t>DELETE DATA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Vanessa Battung (CW)" id="{1CF0F816-259D-4551-B8A3-48E50EA66C53}" userId="S::vanessa.battung@wdc.com::e4278177-926a-4e64-a9a7-419d117f381b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5" dT="2026-07-30T03:14:11.15" personId="{1CF0F816-259D-4551-B8A3-48E50EA66C53}" id="{A9436E86-ED82-4D64-95B9-3FBFFD42763C}">
    <text>Expiring before consumption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67FCB-FAB8-834D-AE48-4A00FEC2050D}">
  <sheetPr codeName="Sheet1"/>
  <dimension ref="A1:E27"/>
  <sheetViews>
    <sheetView zoomScale="130" zoomScaleNormal="130" workbookViewId="0">
      <selection activeCell="B15" sqref="B15"/>
    </sheetView>
  </sheetViews>
  <sheetFormatPr defaultColWidth="8.85546875" defaultRowHeight="15" customHeight="1" x14ac:dyDescent="0.25"/>
  <cols>
    <col min="1" max="1" width="28.5703125" customWidth="1"/>
    <col min="2" max="2" width="22.85546875" customWidth="1"/>
    <col min="4" max="4" width="21.85546875" bestFit="1" customWidth="1"/>
  </cols>
  <sheetData>
    <row r="1" spans="1:5" ht="18.75" customHeight="1" x14ac:dyDescent="0.25">
      <c r="A1" s="93" t="s">
        <v>0</v>
      </c>
      <c r="B1" s="94"/>
    </row>
    <row r="2" spans="1:5" ht="15" customHeight="1" x14ac:dyDescent="0.25">
      <c r="A2" s="92" t="s">
        <v>47</v>
      </c>
      <c r="B2" s="92"/>
      <c r="D2" s="91" t="s">
        <v>41</v>
      </c>
      <c r="E2" s="91"/>
    </row>
    <row r="3" spans="1:5" ht="15" customHeight="1" x14ac:dyDescent="0.25">
      <c r="A3" s="95" t="s">
        <v>1</v>
      </c>
      <c r="B3" s="96"/>
      <c r="D3" s="19" t="s">
        <v>42</v>
      </c>
      <c r="E3" s="20">
        <v>5</v>
      </c>
    </row>
    <row r="4" spans="1:5" ht="15" customHeight="1" x14ac:dyDescent="0.25">
      <c r="A4" s="1" t="s">
        <v>2</v>
      </c>
      <c r="B4" s="2">
        <v>275</v>
      </c>
      <c r="D4" s="19" t="s">
        <v>43</v>
      </c>
      <c r="E4" s="20">
        <v>20</v>
      </c>
    </row>
    <row r="5" spans="1:5" ht="15" customHeight="1" x14ac:dyDescent="0.25">
      <c r="A5" s="1" t="s">
        <v>3</v>
      </c>
      <c r="B5" s="2">
        <v>0</v>
      </c>
      <c r="D5" s="19" t="s">
        <v>44</v>
      </c>
      <c r="E5" s="20">
        <v>3</v>
      </c>
    </row>
    <row r="6" spans="1:5" ht="15" customHeight="1" x14ac:dyDescent="0.25">
      <c r="A6" s="1" t="s">
        <v>4</v>
      </c>
      <c r="B6" s="2">
        <v>0</v>
      </c>
      <c r="D6" s="19" t="s">
        <v>45</v>
      </c>
      <c r="E6" s="20">
        <v>7</v>
      </c>
    </row>
    <row r="7" spans="1:5" ht="15" customHeight="1" x14ac:dyDescent="0.25">
      <c r="A7" s="1" t="s">
        <v>5</v>
      </c>
      <c r="B7" s="2">
        <v>0</v>
      </c>
      <c r="D7" s="19"/>
      <c r="E7" s="20"/>
    </row>
    <row r="8" spans="1:5" ht="15" customHeight="1" x14ac:dyDescent="0.25">
      <c r="A8" s="27" t="s">
        <v>6</v>
      </c>
      <c r="B8" s="4">
        <v>5</v>
      </c>
      <c r="D8" s="19"/>
      <c r="E8" s="20">
        <f>SUM(E3:E6)</f>
        <v>35</v>
      </c>
    </row>
    <row r="10" spans="1:5" ht="15" customHeight="1" x14ac:dyDescent="0.25">
      <c r="A10" s="97" t="s">
        <v>7</v>
      </c>
      <c r="B10" s="96"/>
    </row>
    <row r="11" spans="1:5" ht="15" customHeight="1" x14ac:dyDescent="0.25">
      <c r="A11" s="1" t="s">
        <v>8</v>
      </c>
      <c r="B11" s="2">
        <f>SUM(B4:B7)</f>
        <v>275</v>
      </c>
    </row>
    <row r="12" spans="1:5" ht="15" customHeight="1" x14ac:dyDescent="0.25">
      <c r="A12" s="1" t="s">
        <v>9</v>
      </c>
      <c r="B12" s="2">
        <f>B11/B8</f>
        <v>55</v>
      </c>
    </row>
    <row r="13" spans="1:5" ht="15" customHeight="1" x14ac:dyDescent="0.25">
      <c r="A13" s="1" t="s">
        <v>10</v>
      </c>
      <c r="B13" s="29">
        <f ca="1">TODAY() + B12</f>
        <v>46289</v>
      </c>
    </row>
    <row r="14" spans="1:5" ht="15" customHeight="1" x14ac:dyDescent="0.25">
      <c r="A14" s="1" t="s">
        <v>46</v>
      </c>
      <c r="B14" s="2">
        <v>10</v>
      </c>
    </row>
    <row r="15" spans="1:5" ht="15" customHeight="1" x14ac:dyDescent="0.25">
      <c r="A15" s="1" t="s">
        <v>11</v>
      </c>
      <c r="B15" s="29">
        <v>46251</v>
      </c>
    </row>
    <row r="16" spans="1:5" ht="15" customHeight="1" x14ac:dyDescent="0.25">
      <c r="A16" s="1" t="s">
        <v>12</v>
      </c>
      <c r="B16" s="2">
        <f>E8</f>
        <v>35</v>
      </c>
    </row>
    <row r="17" spans="1:2" ht="15" customHeight="1" x14ac:dyDescent="0.25">
      <c r="A17" s="3" t="s">
        <v>13</v>
      </c>
      <c r="B17" s="30">
        <f>B15-E8</f>
        <v>46216</v>
      </c>
    </row>
    <row r="19" spans="1:2" ht="15" customHeight="1" x14ac:dyDescent="0.25">
      <c r="A19" s="89" t="s">
        <v>14</v>
      </c>
      <c r="B19" s="90"/>
    </row>
    <row r="20" spans="1:2" ht="15" customHeight="1" x14ac:dyDescent="0.25">
      <c r="A20" s="6" t="s">
        <v>15</v>
      </c>
      <c r="B20" s="7" t="s">
        <v>16</v>
      </c>
    </row>
    <row r="21" spans="1:2" ht="15" customHeight="1" x14ac:dyDescent="0.25">
      <c r="A21" s="6" t="s">
        <v>17</v>
      </c>
      <c r="B21" s="7" t="s">
        <v>18</v>
      </c>
    </row>
    <row r="22" spans="1:2" ht="15" customHeight="1" x14ac:dyDescent="0.25">
      <c r="A22" s="8" t="s">
        <v>19</v>
      </c>
      <c r="B22" s="40" t="s">
        <v>20</v>
      </c>
    </row>
    <row r="23" spans="1:2" ht="15" customHeight="1" x14ac:dyDescent="0.25">
      <c r="A23" s="5"/>
      <c r="B23" s="5"/>
    </row>
    <row r="24" spans="1:2" ht="15" customHeight="1" x14ac:dyDescent="0.25">
      <c r="A24" s="5"/>
      <c r="B24" s="5"/>
    </row>
    <row r="25" spans="1:2" ht="15" customHeight="1" x14ac:dyDescent="0.25">
      <c r="A25" s="5"/>
      <c r="B25" s="5"/>
    </row>
    <row r="26" spans="1:2" ht="15" customHeight="1" x14ac:dyDescent="0.25">
      <c r="A26" s="5"/>
      <c r="B26" s="5"/>
    </row>
    <row r="27" spans="1:2" ht="15" customHeight="1" x14ac:dyDescent="0.25">
      <c r="A27" s="5"/>
      <c r="B27" s="5"/>
    </row>
  </sheetData>
  <mergeCells count="6">
    <mergeCell ref="A19:B19"/>
    <mergeCell ref="D2:E2"/>
    <mergeCell ref="A2:B2"/>
    <mergeCell ref="A1:B1"/>
    <mergeCell ref="A3:B3"/>
    <mergeCell ref="A10:B10"/>
  </mergeCells>
  <pageMargins left="0.7" right="0.7" top="0.75" bottom="0.75" header="0.3" footer="0.3"/>
  <pageSetup orientation="portrait" r:id="rId1"/>
  <headerFooter>
    <oddHeader>&amp;L&amp;C&amp;R</oddHeader>
    <oddFooter>&amp;L&amp;C&amp;R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AB678-FC91-1418-48D8-2665E280A808}">
  <sheetPr codeName="Sheet2"/>
  <dimension ref="A1:E30"/>
  <sheetViews>
    <sheetView zoomScale="145" zoomScaleNormal="145" workbookViewId="0">
      <selection activeCell="F4" sqref="F4"/>
    </sheetView>
  </sheetViews>
  <sheetFormatPr defaultColWidth="8.85546875" defaultRowHeight="15" customHeight="1" x14ac:dyDescent="0.25"/>
  <cols>
    <col min="1" max="1" width="28.5703125" customWidth="1"/>
    <col min="2" max="2" width="22.85546875" customWidth="1"/>
    <col min="4" max="4" width="21.5703125" bestFit="1" customWidth="1"/>
  </cols>
  <sheetData>
    <row r="1" spans="1:5" ht="18.75" customHeight="1" x14ac:dyDescent="0.25">
      <c r="A1" s="93" t="s">
        <v>21</v>
      </c>
      <c r="B1" s="94"/>
    </row>
    <row r="2" spans="1:5" ht="15" customHeight="1" x14ac:dyDescent="0.25">
      <c r="A2" s="92" t="s">
        <v>48</v>
      </c>
      <c r="B2" s="92"/>
      <c r="D2" s="91" t="s">
        <v>41</v>
      </c>
      <c r="E2" s="91"/>
    </row>
    <row r="3" spans="1:5" ht="15" customHeight="1" x14ac:dyDescent="0.25">
      <c r="A3" s="95" t="s">
        <v>1</v>
      </c>
      <c r="B3" s="96"/>
      <c r="D3" s="19" t="s">
        <v>44</v>
      </c>
      <c r="E3" s="20">
        <v>3</v>
      </c>
    </row>
    <row r="4" spans="1:5" ht="15.75" customHeight="1" x14ac:dyDescent="0.25">
      <c r="A4" s="9" t="s">
        <v>2</v>
      </c>
      <c r="B4" s="10">
        <v>15</v>
      </c>
      <c r="D4" s="19" t="s">
        <v>45</v>
      </c>
      <c r="E4" s="20">
        <v>20</v>
      </c>
    </row>
    <row r="5" spans="1:5" ht="15.75" customHeight="1" x14ac:dyDescent="0.25">
      <c r="A5" s="9" t="s">
        <v>4</v>
      </c>
      <c r="B5" s="10">
        <v>100</v>
      </c>
      <c r="D5" s="19"/>
      <c r="E5" s="20"/>
    </row>
    <row r="6" spans="1:5" ht="15.75" customHeight="1" x14ac:dyDescent="0.25">
      <c r="A6" s="11" t="s">
        <v>6</v>
      </c>
      <c r="B6" s="12">
        <v>5</v>
      </c>
      <c r="D6" s="19"/>
      <c r="E6" s="20">
        <f>SUM(E3:E4)</f>
        <v>23</v>
      </c>
    </row>
    <row r="7" spans="1:5" ht="15" customHeight="1" x14ac:dyDescent="0.25">
      <c r="A7" s="1"/>
      <c r="B7" s="2"/>
    </row>
    <row r="8" spans="1:5" ht="15" customHeight="1" x14ac:dyDescent="0.25">
      <c r="A8" s="97" t="s">
        <v>7</v>
      </c>
      <c r="B8" s="100"/>
    </row>
    <row r="9" spans="1:5" ht="15.75" customHeight="1" x14ac:dyDescent="0.25">
      <c r="A9" s="9" t="s">
        <v>8</v>
      </c>
      <c r="B9" s="10">
        <f>SUM(B4:B5)</f>
        <v>115</v>
      </c>
    </row>
    <row r="10" spans="1:5" ht="15.75" customHeight="1" x14ac:dyDescent="0.25">
      <c r="A10" s="21" t="s">
        <v>9</v>
      </c>
      <c r="B10" s="22">
        <f>B9/B6</f>
        <v>23</v>
      </c>
    </row>
    <row r="11" spans="1:5" ht="15.75" customHeight="1" x14ac:dyDescent="0.25">
      <c r="A11" s="21" t="s">
        <v>10</v>
      </c>
      <c r="B11" s="24">
        <f ca="1">TODAY() + B10</f>
        <v>46257</v>
      </c>
    </row>
    <row r="12" spans="1:5" ht="15.75" customHeight="1" x14ac:dyDescent="0.25">
      <c r="A12" s="21" t="s">
        <v>46</v>
      </c>
      <c r="B12" s="22">
        <v>10</v>
      </c>
    </row>
    <row r="13" spans="1:5" ht="15.75" customHeight="1" x14ac:dyDescent="0.25">
      <c r="A13" s="21" t="s">
        <v>11</v>
      </c>
      <c r="B13" s="29">
        <f ca="1">B11 - B12</f>
        <v>46247</v>
      </c>
    </row>
    <row r="14" spans="1:5" ht="15.75" customHeight="1" x14ac:dyDescent="0.25">
      <c r="A14" s="11" t="s">
        <v>12</v>
      </c>
      <c r="B14" s="12">
        <f>E6</f>
        <v>23</v>
      </c>
    </row>
    <row r="15" spans="1:5" ht="15.75" customHeight="1" x14ac:dyDescent="0.25">
      <c r="A15" s="3" t="s">
        <v>13</v>
      </c>
      <c r="B15" s="31">
        <f ca="1">B13 - B14</f>
        <v>46224</v>
      </c>
    </row>
    <row r="16" spans="1:5" ht="15" customHeight="1" x14ac:dyDescent="0.25">
      <c r="A16" s="1"/>
      <c r="B16" s="2"/>
    </row>
    <row r="17" spans="1:2" ht="15" customHeight="1" x14ac:dyDescent="0.25">
      <c r="A17" s="99" t="s">
        <v>14</v>
      </c>
      <c r="B17" s="100"/>
    </row>
    <row r="18" spans="1:2" ht="15.75" customHeight="1" x14ac:dyDescent="0.25">
      <c r="A18" s="9" t="s">
        <v>15</v>
      </c>
      <c r="B18" s="10" t="s">
        <v>22</v>
      </c>
    </row>
    <row r="19" spans="1:2" ht="15.75" customHeight="1" x14ac:dyDescent="0.25">
      <c r="A19" s="9" t="s">
        <v>17</v>
      </c>
      <c r="B19" s="10" t="s">
        <v>23</v>
      </c>
    </row>
    <row r="20" spans="1:2" ht="15.75" customHeight="1" x14ac:dyDescent="0.25">
      <c r="A20" s="11" t="s">
        <v>19</v>
      </c>
      <c r="B20" s="41" t="s">
        <v>24</v>
      </c>
    </row>
    <row r="22" spans="1:2" ht="15" customHeight="1" x14ac:dyDescent="0.25">
      <c r="A22" s="98"/>
      <c r="B22" s="96"/>
    </row>
    <row r="23" spans="1:2" ht="15" customHeight="1" x14ac:dyDescent="0.25">
      <c r="A23" s="1"/>
      <c r="B23" s="2"/>
    </row>
    <row r="24" spans="1:2" ht="15" customHeight="1" x14ac:dyDescent="0.25">
      <c r="A24" s="1"/>
      <c r="B24" s="2"/>
    </row>
    <row r="25" spans="1:2" ht="15" customHeight="1" x14ac:dyDescent="0.25">
      <c r="A25" s="3"/>
      <c r="B25" s="4"/>
    </row>
    <row r="27" spans="1:2" ht="15" customHeight="1" x14ac:dyDescent="0.25">
      <c r="A27" s="99"/>
      <c r="B27" s="96"/>
    </row>
    <row r="28" spans="1:2" ht="15" customHeight="1" x14ac:dyDescent="0.25">
      <c r="A28" s="1"/>
      <c r="B28" s="2"/>
    </row>
    <row r="29" spans="1:2" ht="15" customHeight="1" x14ac:dyDescent="0.25">
      <c r="A29" s="1"/>
      <c r="B29" s="2"/>
    </row>
    <row r="30" spans="1:2" ht="15" customHeight="1" x14ac:dyDescent="0.25">
      <c r="A30" s="3"/>
      <c r="B30" s="13"/>
    </row>
  </sheetData>
  <mergeCells count="8">
    <mergeCell ref="D2:E2"/>
    <mergeCell ref="A2:B2"/>
    <mergeCell ref="A22:B22"/>
    <mergeCell ref="A27:B27"/>
    <mergeCell ref="A1:B1"/>
    <mergeCell ref="A3:B3"/>
    <mergeCell ref="A8:B8"/>
    <mergeCell ref="A17:B17"/>
  </mergeCells>
  <pageMargins left="0.7" right="0.7" top="0.75" bottom="0.75" header="0.3" footer="0.3"/>
  <pageSetup orientation="portrait" r:id="rId1"/>
  <headerFooter>
    <oddHeader>&amp;L&amp;C&amp;R</oddHeader>
    <oddFooter>&amp;L&amp;C&amp;R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93B38-9A78-B7A8-7AFC-BA82743E96F2}">
  <sheetPr codeName="Sheet3"/>
  <dimension ref="A1:E28"/>
  <sheetViews>
    <sheetView zoomScale="145" zoomScaleNormal="145" workbookViewId="0">
      <selection activeCell="B7" sqref="B7"/>
    </sheetView>
  </sheetViews>
  <sheetFormatPr defaultColWidth="8.85546875" defaultRowHeight="15" customHeight="1" x14ac:dyDescent="0.25"/>
  <cols>
    <col min="1" max="2" width="28.5703125" customWidth="1"/>
    <col min="4" max="4" width="21.5703125" bestFit="1" customWidth="1"/>
  </cols>
  <sheetData>
    <row r="1" spans="1:5" ht="18.75" customHeight="1" x14ac:dyDescent="0.25">
      <c r="A1" s="93" t="s">
        <v>25</v>
      </c>
      <c r="B1" s="94"/>
    </row>
    <row r="2" spans="1:5" ht="15" customHeight="1" x14ac:dyDescent="0.25">
      <c r="A2" s="101" t="s">
        <v>49</v>
      </c>
      <c r="B2" s="101"/>
      <c r="D2" s="91" t="s">
        <v>41</v>
      </c>
      <c r="E2" s="91"/>
    </row>
    <row r="3" spans="1:5" ht="15" customHeight="1" x14ac:dyDescent="0.25">
      <c r="A3" s="104" t="s">
        <v>1</v>
      </c>
      <c r="B3" s="105"/>
      <c r="D3" s="19" t="s">
        <v>42</v>
      </c>
      <c r="E3" s="20">
        <v>8</v>
      </c>
    </row>
    <row r="4" spans="1:5" ht="15" customHeight="1" x14ac:dyDescent="0.25">
      <c r="A4" s="14" t="s">
        <v>2</v>
      </c>
      <c r="B4" s="15">
        <v>450</v>
      </c>
      <c r="D4" s="19" t="s">
        <v>43</v>
      </c>
      <c r="E4" s="20">
        <v>35</v>
      </c>
    </row>
    <row r="5" spans="1:5" ht="15" customHeight="1" x14ac:dyDescent="0.25">
      <c r="A5" s="25" t="s">
        <v>26</v>
      </c>
      <c r="B5" s="15">
        <f>B4*0.2</f>
        <v>90</v>
      </c>
      <c r="D5" s="19" t="s">
        <v>44</v>
      </c>
      <c r="E5" s="20">
        <v>5</v>
      </c>
    </row>
    <row r="6" spans="1:5" ht="15" customHeight="1" x14ac:dyDescent="0.25">
      <c r="A6" s="25" t="s">
        <v>52</v>
      </c>
      <c r="B6" s="15">
        <f>B4 - B5</f>
        <v>360</v>
      </c>
      <c r="D6" s="19" t="s">
        <v>45</v>
      </c>
      <c r="E6" s="20">
        <v>14</v>
      </c>
    </row>
    <row r="7" spans="1:5" ht="15" customHeight="1" x14ac:dyDescent="0.25">
      <c r="A7" s="28" t="s">
        <v>51</v>
      </c>
      <c r="B7" s="32">
        <v>46174</v>
      </c>
      <c r="D7" s="19"/>
      <c r="E7" s="20"/>
    </row>
    <row r="8" spans="1:5" ht="15" customHeight="1" x14ac:dyDescent="0.25">
      <c r="A8" s="11" t="s">
        <v>6</v>
      </c>
      <c r="B8" s="12">
        <v>5</v>
      </c>
      <c r="D8" s="19"/>
      <c r="E8" s="20">
        <f>SUM(E3:E6)</f>
        <v>62</v>
      </c>
    </row>
    <row r="9" spans="1:5" ht="15" customHeight="1" x14ac:dyDescent="0.25">
      <c r="A9" s="1"/>
      <c r="B9" s="2"/>
    </row>
    <row r="10" spans="1:5" ht="15" customHeight="1" x14ac:dyDescent="0.25">
      <c r="A10" s="106" t="s">
        <v>7</v>
      </c>
      <c r="B10" s="107"/>
    </row>
    <row r="11" spans="1:5" ht="15" customHeight="1" x14ac:dyDescent="0.25">
      <c r="A11" s="14" t="s">
        <v>8</v>
      </c>
      <c r="B11" s="15">
        <f>B6</f>
        <v>360</v>
      </c>
    </row>
    <row r="12" spans="1:5" ht="15" customHeight="1" x14ac:dyDescent="0.25">
      <c r="A12" s="14" t="s">
        <v>9</v>
      </c>
      <c r="B12" s="15">
        <f>B11/B8</f>
        <v>72</v>
      </c>
    </row>
    <row r="13" spans="1:5" ht="15" customHeight="1" x14ac:dyDescent="0.25">
      <c r="A13" s="14" t="s">
        <v>10</v>
      </c>
      <c r="B13" s="24">
        <f ca="1">TODAY() + B12</f>
        <v>46306</v>
      </c>
    </row>
    <row r="14" spans="1:5" ht="15" customHeight="1" x14ac:dyDescent="0.25">
      <c r="A14" s="14" t="s">
        <v>46</v>
      </c>
      <c r="B14" s="15">
        <v>10</v>
      </c>
    </row>
    <row r="15" spans="1:5" ht="15" customHeight="1" x14ac:dyDescent="0.25">
      <c r="A15" s="14" t="s">
        <v>11</v>
      </c>
      <c r="B15" s="29">
        <f ca="1">B13 - B14</f>
        <v>46296</v>
      </c>
    </row>
    <row r="16" spans="1:5" ht="15" customHeight="1" x14ac:dyDescent="0.25">
      <c r="A16" s="11" t="s">
        <v>12</v>
      </c>
      <c r="B16" s="33">
        <f>E8</f>
        <v>62</v>
      </c>
    </row>
    <row r="17" spans="1:2" ht="15" customHeight="1" x14ac:dyDescent="0.25">
      <c r="A17" s="14" t="s">
        <v>13</v>
      </c>
      <c r="B17" s="34">
        <f ca="1">B15 - B16</f>
        <v>46234</v>
      </c>
    </row>
    <row r="18" spans="1:2" ht="15" customHeight="1" x14ac:dyDescent="0.25">
      <c r="A18" s="3"/>
      <c r="B18" s="4"/>
    </row>
    <row r="19" spans="1:2" ht="15" customHeight="1" x14ac:dyDescent="0.25">
      <c r="A19" s="108" t="s">
        <v>14</v>
      </c>
      <c r="B19" s="105"/>
    </row>
    <row r="20" spans="1:2" ht="15" customHeight="1" x14ac:dyDescent="0.25">
      <c r="A20" s="102" t="s">
        <v>15</v>
      </c>
      <c r="B20" s="103" t="s">
        <v>28</v>
      </c>
    </row>
    <row r="21" spans="1:2" ht="15.75" customHeight="1" x14ac:dyDescent="0.25">
      <c r="A21" s="14" t="s">
        <v>17</v>
      </c>
      <c r="B21" s="15" t="s">
        <v>29</v>
      </c>
    </row>
    <row r="22" spans="1:2" ht="15" customHeight="1" x14ac:dyDescent="0.25">
      <c r="A22" s="14" t="s">
        <v>19</v>
      </c>
      <c r="B22" s="42" t="s">
        <v>20</v>
      </c>
    </row>
    <row r="23" spans="1:2" ht="15" customHeight="1" x14ac:dyDescent="0.25">
      <c r="A23" s="3"/>
      <c r="B23" s="4"/>
    </row>
    <row r="25" spans="1:2" ht="15" customHeight="1" x14ac:dyDescent="0.25">
      <c r="A25" s="99"/>
      <c r="B25" s="96"/>
    </row>
    <row r="26" spans="1:2" ht="15" customHeight="1" x14ac:dyDescent="0.25">
      <c r="A26" s="1"/>
      <c r="B26" s="2"/>
    </row>
    <row r="27" spans="1:2" ht="15" customHeight="1" x14ac:dyDescent="0.25">
      <c r="A27" s="1"/>
      <c r="B27" s="2"/>
    </row>
    <row r="28" spans="1:2" ht="15" customHeight="1" x14ac:dyDescent="0.25">
      <c r="A28" s="3"/>
      <c r="B28" s="13"/>
    </row>
  </sheetData>
  <mergeCells count="8">
    <mergeCell ref="D2:E2"/>
    <mergeCell ref="A2:B2"/>
    <mergeCell ref="A20:B20"/>
    <mergeCell ref="A25:B25"/>
    <mergeCell ref="A1:B1"/>
    <mergeCell ref="A3:B3"/>
    <mergeCell ref="A10:B10"/>
    <mergeCell ref="A19:B19"/>
  </mergeCells>
  <pageMargins left="0.7" right="0.7" top="0.75" bottom="0.75" header="0.3" footer="0.3"/>
  <pageSetup orientation="portrait" r:id="rId1"/>
  <headerFooter>
    <oddHeader>&amp;L&amp;C&amp;R</oddHeader>
    <oddFooter>&amp;L&amp;C&amp;R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B309E-D8CD-1478-4508-58BA03AA6DE8}">
  <sheetPr codeName="Sheet4"/>
  <dimension ref="A1:I31"/>
  <sheetViews>
    <sheetView zoomScale="130" zoomScaleNormal="130" workbookViewId="0">
      <selection activeCell="L23" sqref="L23"/>
    </sheetView>
  </sheetViews>
  <sheetFormatPr defaultColWidth="8.85546875" defaultRowHeight="15" customHeight="1" x14ac:dyDescent="0.25"/>
  <cols>
    <col min="1" max="1" width="25" customWidth="1"/>
    <col min="2" max="2" width="28" customWidth="1"/>
    <col min="4" max="4" width="21.5703125" bestFit="1" customWidth="1"/>
    <col min="5" max="5" width="10.28515625" bestFit="1" customWidth="1"/>
    <col min="6" max="6" width="13.140625" bestFit="1" customWidth="1"/>
  </cols>
  <sheetData>
    <row r="1" spans="1:9" ht="18.75" customHeight="1" x14ac:dyDescent="0.25">
      <c r="A1" s="93" t="s">
        <v>30</v>
      </c>
      <c r="B1" s="94"/>
    </row>
    <row r="2" spans="1:9" ht="15" customHeight="1" x14ac:dyDescent="0.25">
      <c r="A2" s="109" t="s">
        <v>79</v>
      </c>
      <c r="B2" s="101"/>
      <c r="D2" s="91" t="s">
        <v>41</v>
      </c>
      <c r="E2" s="91"/>
    </row>
    <row r="3" spans="1:9" ht="15" customHeight="1" x14ac:dyDescent="0.25">
      <c r="A3" s="110" t="s">
        <v>1</v>
      </c>
      <c r="B3" s="105"/>
      <c r="D3" s="19" t="s">
        <v>45</v>
      </c>
      <c r="E3" s="20">
        <v>5</v>
      </c>
    </row>
    <row r="4" spans="1:9" ht="15" customHeight="1" x14ac:dyDescent="0.25">
      <c r="A4" s="25" t="s">
        <v>2</v>
      </c>
      <c r="B4" s="15">
        <v>100</v>
      </c>
      <c r="D4" s="19"/>
      <c r="E4" s="20"/>
    </row>
    <row r="5" spans="1:9" ht="15" customHeight="1" x14ac:dyDescent="0.25">
      <c r="A5" s="25" t="s">
        <v>3</v>
      </c>
      <c r="B5" s="15">
        <v>0</v>
      </c>
      <c r="D5" s="19"/>
      <c r="E5" s="20">
        <f>E3</f>
        <v>5</v>
      </c>
    </row>
    <row r="6" spans="1:9" ht="15" customHeight="1" x14ac:dyDescent="0.25">
      <c r="A6" s="25" t="s">
        <v>5</v>
      </c>
      <c r="B6" s="15">
        <v>0</v>
      </c>
    </row>
    <row r="7" spans="1:9" ht="15" customHeight="1" x14ac:dyDescent="0.25">
      <c r="A7" s="25" t="s">
        <v>31</v>
      </c>
      <c r="B7" s="34"/>
    </row>
    <row r="8" spans="1:9" ht="15" customHeight="1" x14ac:dyDescent="0.25">
      <c r="A8" s="11" t="s">
        <v>6</v>
      </c>
      <c r="B8" s="76">
        <f>B11/G10</f>
        <v>3.3333333333333335</v>
      </c>
      <c r="I8" s="69"/>
    </row>
    <row r="9" spans="1:9" ht="15" customHeight="1" x14ac:dyDescent="0.25">
      <c r="A9" s="3"/>
      <c r="B9" s="4"/>
      <c r="F9" s="70" t="s">
        <v>78</v>
      </c>
      <c r="G9" s="71">
        <v>0</v>
      </c>
    </row>
    <row r="10" spans="1:9" ht="15" customHeight="1" x14ac:dyDescent="0.25">
      <c r="A10" s="111" t="s">
        <v>7</v>
      </c>
      <c r="B10" s="105"/>
      <c r="F10" s="72" t="s">
        <v>80</v>
      </c>
      <c r="G10">
        <v>30</v>
      </c>
    </row>
    <row r="11" spans="1:9" ht="15" customHeight="1" x14ac:dyDescent="0.25">
      <c r="A11" s="26" t="s">
        <v>8</v>
      </c>
      <c r="B11" s="73">
        <f>SUM(B4:B6,G9)</f>
        <v>100</v>
      </c>
    </row>
    <row r="12" spans="1:9" ht="15" customHeight="1" x14ac:dyDescent="0.25">
      <c r="A12" s="14" t="s">
        <v>9</v>
      </c>
      <c r="B12" s="74">
        <f>B11/B8</f>
        <v>30</v>
      </c>
    </row>
    <row r="13" spans="1:9" ht="15" customHeight="1" x14ac:dyDescent="0.25">
      <c r="A13" s="25" t="s">
        <v>10</v>
      </c>
      <c r="B13" s="75">
        <f ca="1">TODAY() +B12</f>
        <v>46264</v>
      </c>
      <c r="D13" s="69"/>
      <c r="E13" s="69"/>
    </row>
    <row r="14" spans="1:9" ht="15" customHeight="1" x14ac:dyDescent="0.25">
      <c r="A14" s="28" t="s">
        <v>46</v>
      </c>
      <c r="B14" s="23">
        <v>7</v>
      </c>
    </row>
    <row r="15" spans="1:9" ht="15" customHeight="1" x14ac:dyDescent="0.25">
      <c r="A15" s="28" t="s">
        <v>11</v>
      </c>
      <c r="B15" s="29"/>
      <c r="D15" s="69"/>
    </row>
    <row r="16" spans="1:9" ht="15" customHeight="1" x14ac:dyDescent="0.25">
      <c r="A16" s="28" t="s">
        <v>12</v>
      </c>
      <c r="B16" s="77">
        <f>E5</f>
        <v>5</v>
      </c>
    </row>
    <row r="17" spans="1:4" ht="15" customHeight="1" x14ac:dyDescent="0.25">
      <c r="A17" s="28" t="s">
        <v>13</v>
      </c>
      <c r="B17" s="78">
        <f>B15-B16</f>
        <v>-5</v>
      </c>
      <c r="D17" s="79" t="s">
        <v>81</v>
      </c>
    </row>
    <row r="18" spans="1:4" ht="15" customHeight="1" x14ac:dyDescent="0.25">
      <c r="A18" s="1"/>
      <c r="B18" s="2"/>
    </row>
    <row r="19" spans="1:4" ht="15" customHeight="1" x14ac:dyDescent="0.25">
      <c r="A19" s="112" t="s">
        <v>27</v>
      </c>
      <c r="B19" s="107"/>
    </row>
    <row r="20" spans="1:4" ht="15" customHeight="1" x14ac:dyDescent="0.25">
      <c r="A20" s="14" t="s">
        <v>32</v>
      </c>
      <c r="B20" s="15" t="s">
        <v>33</v>
      </c>
    </row>
    <row r="21" spans="1:4" ht="15" customHeight="1" x14ac:dyDescent="0.25">
      <c r="A21" s="3"/>
      <c r="B21" s="4"/>
    </row>
    <row r="22" spans="1:4" ht="15" customHeight="1" x14ac:dyDescent="0.25">
      <c r="A22" s="113" t="s">
        <v>14</v>
      </c>
      <c r="B22" s="105"/>
    </row>
    <row r="23" spans="1:4" ht="15" customHeight="1" x14ac:dyDescent="0.25">
      <c r="A23" s="102" t="s">
        <v>15</v>
      </c>
      <c r="B23" s="103" t="s">
        <v>34</v>
      </c>
    </row>
    <row r="24" spans="1:4" ht="15" customHeight="1" x14ac:dyDescent="0.25">
      <c r="A24" s="14" t="s">
        <v>17</v>
      </c>
      <c r="B24" s="15" t="s">
        <v>35</v>
      </c>
    </row>
    <row r="25" spans="1:4" ht="15" customHeight="1" x14ac:dyDescent="0.25">
      <c r="A25" s="14" t="s">
        <v>19</v>
      </c>
      <c r="B25" s="42" t="s">
        <v>36</v>
      </c>
    </row>
    <row r="26" spans="1:4" ht="15" customHeight="1" x14ac:dyDescent="0.25">
      <c r="A26" s="3"/>
      <c r="B26" s="4"/>
    </row>
    <row r="28" spans="1:4" ht="15" customHeight="1" x14ac:dyDescent="0.25">
      <c r="A28" s="99"/>
      <c r="B28" s="96"/>
    </row>
    <row r="29" spans="1:4" ht="15" customHeight="1" x14ac:dyDescent="0.25">
      <c r="A29" s="1"/>
      <c r="B29" s="2"/>
    </row>
    <row r="30" spans="1:4" ht="15" customHeight="1" x14ac:dyDescent="0.25">
      <c r="A30" s="1"/>
      <c r="B30" s="2"/>
    </row>
    <row r="31" spans="1:4" ht="15" customHeight="1" x14ac:dyDescent="0.25">
      <c r="A31" s="3"/>
      <c r="B31" s="13"/>
    </row>
  </sheetData>
  <mergeCells count="9">
    <mergeCell ref="D2:E2"/>
    <mergeCell ref="A2:B2"/>
    <mergeCell ref="A23:B23"/>
    <mergeCell ref="A28:B28"/>
    <mergeCell ref="A1:B1"/>
    <mergeCell ref="A3:B3"/>
    <mergeCell ref="A10:B10"/>
    <mergeCell ref="A19:B19"/>
    <mergeCell ref="A22:B22"/>
  </mergeCells>
  <pageMargins left="0.7" right="0.7" top="0.75" bottom="0.75" header="0.3" footer="0.3"/>
  <pageSetup orientation="portrait" r:id="rId1"/>
  <headerFooter>
    <oddHeader>&amp;L&amp;C&amp;R</oddHeader>
    <oddFooter>&amp;L&amp;C&amp;R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05E4A-AD38-E5D2-9018-2AE3EF095008}">
  <sheetPr codeName="Sheet5"/>
  <dimension ref="A1:E31"/>
  <sheetViews>
    <sheetView zoomScale="145" zoomScaleNormal="145" workbookViewId="0">
      <selection activeCell="B10" sqref="B10"/>
    </sheetView>
  </sheetViews>
  <sheetFormatPr defaultColWidth="8.85546875" defaultRowHeight="15" customHeight="1" x14ac:dyDescent="0.25"/>
  <cols>
    <col min="1" max="1" width="28.5703125" customWidth="1"/>
    <col min="2" max="2" width="22.85546875" customWidth="1"/>
    <col min="4" max="4" width="21.5703125" bestFit="1" customWidth="1"/>
  </cols>
  <sheetData>
    <row r="1" spans="1:5" ht="18.75" customHeight="1" x14ac:dyDescent="0.25">
      <c r="A1" s="114" t="s">
        <v>37</v>
      </c>
      <c r="B1" s="94"/>
    </row>
    <row r="2" spans="1:5" ht="15" customHeight="1" x14ac:dyDescent="0.25">
      <c r="A2" s="101" t="s">
        <v>50</v>
      </c>
      <c r="B2" s="101"/>
      <c r="D2" s="91" t="s">
        <v>41</v>
      </c>
      <c r="E2" s="91"/>
    </row>
    <row r="3" spans="1:5" ht="15" customHeight="1" x14ac:dyDescent="0.25">
      <c r="A3" s="104" t="s">
        <v>1</v>
      </c>
      <c r="B3" s="105"/>
      <c r="D3" s="19" t="s">
        <v>42</v>
      </c>
      <c r="E3" s="20">
        <v>10</v>
      </c>
    </row>
    <row r="4" spans="1:5" ht="15" customHeight="1" x14ac:dyDescent="0.25">
      <c r="A4" s="18" t="s">
        <v>2</v>
      </c>
      <c r="B4" s="16">
        <v>500</v>
      </c>
      <c r="D4" s="19" t="s">
        <v>43</v>
      </c>
      <c r="E4" s="20">
        <v>40</v>
      </c>
    </row>
    <row r="5" spans="1:5" ht="15" customHeight="1" x14ac:dyDescent="0.25">
      <c r="A5" s="18" t="s">
        <v>6</v>
      </c>
      <c r="B5" s="16">
        <v>5</v>
      </c>
      <c r="D5" s="19" t="s">
        <v>44</v>
      </c>
      <c r="E5" s="20">
        <v>7</v>
      </c>
    </row>
    <row r="6" spans="1:5" ht="15" customHeight="1" x14ac:dyDescent="0.25">
      <c r="A6" s="1"/>
      <c r="B6" s="2"/>
      <c r="D6" s="19" t="s">
        <v>45</v>
      </c>
      <c r="E6" s="20">
        <v>15</v>
      </c>
    </row>
    <row r="7" spans="1:5" ht="15" customHeight="1" x14ac:dyDescent="0.25">
      <c r="A7" s="106" t="s">
        <v>7</v>
      </c>
      <c r="B7" s="107"/>
      <c r="D7" s="19"/>
      <c r="E7" s="20"/>
    </row>
    <row r="8" spans="1:5" ht="15" customHeight="1" x14ac:dyDescent="0.25">
      <c r="A8" s="18" t="s">
        <v>9</v>
      </c>
      <c r="B8" s="16">
        <v>100</v>
      </c>
      <c r="D8" s="19"/>
      <c r="E8" s="20">
        <f>SUM(E3:E6)</f>
        <v>72</v>
      </c>
    </row>
    <row r="9" spans="1:5" ht="15" customHeight="1" x14ac:dyDescent="0.25">
      <c r="A9" s="28" t="s">
        <v>46</v>
      </c>
      <c r="B9" s="23">
        <v>10</v>
      </c>
      <c r="D9" s="35"/>
      <c r="E9" s="36"/>
    </row>
    <row r="10" spans="1:5" ht="15" customHeight="1" x14ac:dyDescent="0.25">
      <c r="A10" s="28" t="s">
        <v>10</v>
      </c>
      <c r="B10" s="24">
        <f ca="1">TODAY() + B8</f>
        <v>46334</v>
      </c>
      <c r="D10" s="35"/>
      <c r="E10" s="36"/>
    </row>
    <row r="11" spans="1:5" ht="15" customHeight="1" x14ac:dyDescent="0.25">
      <c r="A11" s="28" t="s">
        <v>11</v>
      </c>
      <c r="B11" s="29">
        <f ca="1">B10 - B9</f>
        <v>46324</v>
      </c>
      <c r="D11" s="35"/>
      <c r="E11" s="36"/>
    </row>
    <row r="12" spans="1:5" ht="15" customHeight="1" x14ac:dyDescent="0.25">
      <c r="A12" s="39" t="s">
        <v>12</v>
      </c>
      <c r="B12" s="16">
        <f>E8</f>
        <v>72</v>
      </c>
    </row>
    <row r="13" spans="1:5" ht="15" customHeight="1" x14ac:dyDescent="0.25">
      <c r="A13" s="37" t="s">
        <v>13</v>
      </c>
      <c r="B13" s="38">
        <f ca="1">B11-B12</f>
        <v>46252</v>
      </c>
    </row>
    <row r="14" spans="1:5" ht="15" customHeight="1" x14ac:dyDescent="0.25">
      <c r="A14" s="37"/>
      <c r="B14" s="36"/>
    </row>
    <row r="15" spans="1:5" ht="15" customHeight="1" x14ac:dyDescent="0.25">
      <c r="A15" s="97"/>
      <c r="B15" s="96"/>
    </row>
    <row r="16" spans="1:5" ht="15" customHeight="1" x14ac:dyDescent="0.25">
      <c r="A16" s="108" t="s">
        <v>14</v>
      </c>
      <c r="B16" s="107"/>
    </row>
    <row r="17" spans="1:2" ht="15" customHeight="1" x14ac:dyDescent="0.25">
      <c r="A17" s="18" t="s">
        <v>15</v>
      </c>
      <c r="B17" s="16" t="s">
        <v>38</v>
      </c>
    </row>
    <row r="18" spans="1:2" ht="15" customHeight="1" x14ac:dyDescent="0.25">
      <c r="A18" s="18" t="s">
        <v>17</v>
      </c>
      <c r="B18" s="16" t="s">
        <v>39</v>
      </c>
    </row>
    <row r="19" spans="1:2" ht="15" customHeight="1" x14ac:dyDescent="0.25">
      <c r="A19" s="18" t="s">
        <v>19</v>
      </c>
      <c r="B19" s="17" t="s">
        <v>40</v>
      </c>
    </row>
    <row r="20" spans="1:2" ht="15" customHeight="1" x14ac:dyDescent="0.25">
      <c r="A20" s="1"/>
      <c r="B20" s="2"/>
    </row>
    <row r="21" spans="1:2" ht="15" customHeight="1" x14ac:dyDescent="0.25">
      <c r="A21" s="3"/>
      <c r="B21" s="4"/>
    </row>
    <row r="23" spans="1:2" ht="15" customHeight="1" x14ac:dyDescent="0.25">
      <c r="A23" s="98"/>
      <c r="B23" s="96"/>
    </row>
    <row r="24" spans="1:2" ht="15" customHeight="1" x14ac:dyDescent="0.25">
      <c r="A24" s="1"/>
      <c r="B24" s="2"/>
    </row>
    <row r="25" spans="1:2" ht="15" customHeight="1" x14ac:dyDescent="0.25">
      <c r="A25" s="1"/>
      <c r="B25" s="2"/>
    </row>
    <row r="26" spans="1:2" ht="15" customHeight="1" x14ac:dyDescent="0.25">
      <c r="A26" s="3"/>
      <c r="B26" s="4"/>
    </row>
    <row r="28" spans="1:2" ht="15" customHeight="1" x14ac:dyDescent="0.25">
      <c r="A28" s="99"/>
      <c r="B28" s="96"/>
    </row>
    <row r="29" spans="1:2" ht="15" customHeight="1" x14ac:dyDescent="0.25">
      <c r="A29" s="1"/>
      <c r="B29" s="2"/>
    </row>
    <row r="30" spans="1:2" ht="15" customHeight="1" x14ac:dyDescent="0.25">
      <c r="A30" s="1"/>
      <c r="B30" s="2"/>
    </row>
    <row r="31" spans="1:2" ht="15" customHeight="1" x14ac:dyDescent="0.25">
      <c r="A31" s="3"/>
      <c r="B31" s="13"/>
    </row>
  </sheetData>
  <mergeCells count="9">
    <mergeCell ref="D2:E2"/>
    <mergeCell ref="A2:B2"/>
    <mergeCell ref="A15:B15"/>
    <mergeCell ref="A23:B23"/>
    <mergeCell ref="A28:B28"/>
    <mergeCell ref="A1:B1"/>
    <mergeCell ref="A3:B3"/>
    <mergeCell ref="A7:B7"/>
    <mergeCell ref="A16:B16"/>
  </mergeCells>
  <pageMargins left="0.7" right="0.7" top="0.75" bottom="0.75" header="0.3" footer="0.3"/>
  <pageSetup orientation="portrait" r:id="rId1"/>
  <headerFooter>
    <oddHeader>&amp;L&amp;C&amp;R</oddHeader>
    <oddFooter>&amp;L&amp;C&amp;R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749FA-B2F0-4438-B24D-D21F2AC03C56}">
  <sheetPr codeName="Sheet6"/>
  <dimension ref="A1:K31"/>
  <sheetViews>
    <sheetView tabSelected="1" zoomScale="130" zoomScaleNormal="130" workbookViewId="0">
      <selection activeCell="I16" sqref="I16"/>
    </sheetView>
  </sheetViews>
  <sheetFormatPr defaultColWidth="8.85546875" defaultRowHeight="15" customHeight="1" x14ac:dyDescent="0.25"/>
  <cols>
    <col min="1" max="1" width="28.5703125" style="83" customWidth="1"/>
    <col min="2" max="2" width="22.85546875" style="83" customWidth="1"/>
    <col min="3" max="3" width="8.85546875" style="83"/>
    <col min="4" max="4" width="21.85546875" style="83" bestFit="1" customWidth="1"/>
    <col min="5" max="7" width="8.85546875" style="83"/>
    <col min="8" max="8" width="11.7109375" style="83" bestFit="1" customWidth="1"/>
    <col min="9" max="9" width="20.5703125" style="84" bestFit="1" customWidth="1"/>
    <col min="10" max="10" width="36.140625" style="83" bestFit="1" customWidth="1"/>
    <col min="11" max="11" width="23.85546875" style="83" customWidth="1"/>
    <col min="12" max="16384" width="8.85546875" style="83"/>
  </cols>
  <sheetData>
    <row r="1" spans="1:11" ht="18.75" customHeight="1" x14ac:dyDescent="0.25">
      <c r="A1" s="117" t="str">
        <f ca="1">IF(OR(B4="",B10=""),"⚪ NO DATA/WAITING INPUT",IF(AND(B9&lt;&gt;"",B15&lt;&gt;"",B9&lt;B15),"⚠️ SCENARIO 3 — EXPIRY",IF(AND(B5&gt;0,B8&lt;&gt;"",B15&lt;B8),"🚨 SCENARIO 4 — PO EXISTS(LATE)",IF(AND(B5=0,B6&gt;0),"✅ SCENARIO 2 — BPA AVAILABLE",IF(AND(B5=0,B6=0),"✅ SCENARIO 1 — NO PO+NO BPA",IF(B19&gt;TODAY(),"✅ SCENARIO 5 — HEALTHY STOCK","UNKNOWN"))))))</f>
        <v>⚠️ SCENARIO 3 — EXPIRY</v>
      </c>
      <c r="B1" s="118"/>
    </row>
    <row r="2" spans="1:11" ht="15" customHeight="1" x14ac:dyDescent="0.25">
      <c r="A2" s="119"/>
      <c r="B2" s="119"/>
      <c r="D2" s="120" t="s">
        <v>41</v>
      </c>
      <c r="E2" s="120"/>
      <c r="H2" s="88" t="s">
        <v>15</v>
      </c>
      <c r="I2" s="88" t="s">
        <v>84</v>
      </c>
      <c r="J2" s="88" t="s">
        <v>19</v>
      </c>
      <c r="K2" s="88" t="s">
        <v>62</v>
      </c>
    </row>
    <row r="3" spans="1:11" ht="15" customHeight="1" x14ac:dyDescent="0.25">
      <c r="A3" s="121" t="s">
        <v>1</v>
      </c>
      <c r="B3" s="122"/>
      <c r="D3" s="45" t="s">
        <v>42</v>
      </c>
      <c r="E3" s="43"/>
      <c r="H3" s="44" t="s">
        <v>95</v>
      </c>
      <c r="I3" s="44" t="s">
        <v>88</v>
      </c>
      <c r="J3" s="44" t="s">
        <v>58</v>
      </c>
      <c r="K3" s="44" t="s">
        <v>63</v>
      </c>
    </row>
    <row r="4" spans="1:11" ht="15" customHeight="1" x14ac:dyDescent="0.25">
      <c r="A4" s="44" t="s">
        <v>2</v>
      </c>
      <c r="B4" s="60">
        <v>105</v>
      </c>
      <c r="D4" s="45" t="s">
        <v>43</v>
      </c>
      <c r="E4" s="43"/>
      <c r="H4" s="44" t="s">
        <v>96</v>
      </c>
      <c r="I4" s="44" t="s">
        <v>89</v>
      </c>
      <c r="J4" s="44" t="s">
        <v>59</v>
      </c>
      <c r="K4" s="44" t="s">
        <v>64</v>
      </c>
    </row>
    <row r="5" spans="1:11" ht="15" customHeight="1" x14ac:dyDescent="0.25">
      <c r="A5" s="44" t="s">
        <v>3</v>
      </c>
      <c r="B5" s="60"/>
      <c r="D5" s="45" t="s">
        <v>44</v>
      </c>
      <c r="E5" s="43"/>
      <c r="H5" s="44" t="s">
        <v>97</v>
      </c>
      <c r="I5" s="44" t="s">
        <v>90</v>
      </c>
      <c r="J5" s="44" t="s">
        <v>58</v>
      </c>
      <c r="K5" s="44" t="s">
        <v>63</v>
      </c>
    </row>
    <row r="6" spans="1:11" ht="15" customHeight="1" x14ac:dyDescent="0.25">
      <c r="A6" s="44" t="s">
        <v>4</v>
      </c>
      <c r="B6" s="60"/>
      <c r="D6" s="45" t="s">
        <v>45</v>
      </c>
      <c r="E6" s="43">
        <v>5</v>
      </c>
      <c r="H6" s="44" t="s">
        <v>98</v>
      </c>
      <c r="I6" s="44" t="s">
        <v>91</v>
      </c>
      <c r="J6" s="44" t="s">
        <v>60</v>
      </c>
      <c r="K6" s="44" t="s">
        <v>65</v>
      </c>
    </row>
    <row r="7" spans="1:11" ht="15" customHeight="1" x14ac:dyDescent="0.25">
      <c r="A7" s="44" t="s">
        <v>5</v>
      </c>
      <c r="B7" s="60"/>
      <c r="D7" s="45"/>
      <c r="E7" s="46"/>
      <c r="H7" s="44" t="s">
        <v>99</v>
      </c>
      <c r="I7" s="44" t="s">
        <v>92</v>
      </c>
      <c r="J7" s="44" t="s">
        <v>87</v>
      </c>
      <c r="K7" s="44" t="s">
        <v>66</v>
      </c>
    </row>
    <row r="8" spans="1:11" ht="15" customHeight="1" x14ac:dyDescent="0.25">
      <c r="A8" s="48" t="s">
        <v>31</v>
      </c>
      <c r="B8" s="63"/>
      <c r="D8" s="45"/>
      <c r="E8" s="46">
        <f>SUM(E3:E6)</f>
        <v>5</v>
      </c>
      <c r="H8" s="87" t="s">
        <v>100</v>
      </c>
      <c r="I8" s="44" t="s">
        <v>103</v>
      </c>
      <c r="J8" s="87" t="s">
        <v>83</v>
      </c>
      <c r="K8" s="44" t="s">
        <v>66</v>
      </c>
    </row>
    <row r="9" spans="1:11" ht="15" customHeight="1" x14ac:dyDescent="0.25">
      <c r="A9" s="49" t="s">
        <v>26</v>
      </c>
      <c r="B9" s="85">
        <v>5</v>
      </c>
      <c r="D9" s="50"/>
      <c r="E9" s="51"/>
      <c r="H9" s="87" t="s">
        <v>101</v>
      </c>
      <c r="I9" s="44" t="s">
        <v>93</v>
      </c>
      <c r="J9" s="87" t="s">
        <v>85</v>
      </c>
      <c r="K9" s="44" t="s">
        <v>66</v>
      </c>
    </row>
    <row r="10" spans="1:11" ht="15" customHeight="1" x14ac:dyDescent="0.25">
      <c r="A10" s="49" t="s">
        <v>52</v>
      </c>
      <c r="B10" s="60">
        <f>B4-B9</f>
        <v>100</v>
      </c>
      <c r="D10" s="50"/>
      <c r="E10" s="51"/>
      <c r="H10" s="87" t="s">
        <v>102</v>
      </c>
      <c r="I10" s="44" t="s">
        <v>94</v>
      </c>
      <c r="J10" s="44" t="s">
        <v>86</v>
      </c>
      <c r="K10" s="44" t="s">
        <v>66</v>
      </c>
    </row>
    <row r="11" spans="1:11" ht="15" customHeight="1" x14ac:dyDescent="0.25">
      <c r="A11" s="48" t="s">
        <v>51</v>
      </c>
      <c r="B11" s="86">
        <v>46234</v>
      </c>
      <c r="D11" s="50"/>
      <c r="E11" s="51"/>
    </row>
    <row r="12" spans="1:11" ht="15" customHeight="1" x14ac:dyDescent="0.25">
      <c r="A12" s="54" t="s">
        <v>6</v>
      </c>
      <c r="B12" s="62">
        <f>B15/B13</f>
        <v>50</v>
      </c>
      <c r="D12" s="50"/>
      <c r="E12" s="51"/>
    </row>
    <row r="13" spans="1:11" ht="15" customHeight="1" x14ac:dyDescent="0.25">
      <c r="A13" s="80" t="s">
        <v>82</v>
      </c>
      <c r="B13" s="83">
        <v>2</v>
      </c>
    </row>
    <row r="14" spans="1:11" ht="15" customHeight="1" x14ac:dyDescent="0.25">
      <c r="A14" s="123" t="s">
        <v>7</v>
      </c>
      <c r="B14" s="122"/>
    </row>
    <row r="15" spans="1:11" ht="15" customHeight="1" x14ac:dyDescent="0.25">
      <c r="A15" s="44" t="s">
        <v>8</v>
      </c>
      <c r="B15" s="53">
        <f>IF(B9&gt;0,B10,SUM(B4:B7))</f>
        <v>100</v>
      </c>
    </row>
    <row r="16" spans="1:11" ht="15" customHeight="1" x14ac:dyDescent="0.25">
      <c r="A16" s="48" t="s">
        <v>9</v>
      </c>
      <c r="B16" s="47">
        <f>B15/B12</f>
        <v>2</v>
      </c>
    </row>
    <row r="17" spans="1:6" ht="15" customHeight="1" x14ac:dyDescent="0.25">
      <c r="A17" s="44" t="s">
        <v>10</v>
      </c>
      <c r="B17" s="52">
        <f ca="1">TODAY() + B16</f>
        <v>46236</v>
      </c>
    </row>
    <row r="18" spans="1:6" ht="15" customHeight="1" x14ac:dyDescent="0.25">
      <c r="A18" s="44" t="s">
        <v>46</v>
      </c>
      <c r="B18" s="47">
        <v>28</v>
      </c>
    </row>
    <row r="19" spans="1:6" ht="15" customHeight="1" x14ac:dyDescent="0.25">
      <c r="A19" s="44" t="s">
        <v>11</v>
      </c>
      <c r="B19" s="86">
        <f>B8</f>
        <v>0</v>
      </c>
    </row>
    <row r="20" spans="1:6" ht="15" customHeight="1" x14ac:dyDescent="0.25">
      <c r="A20" s="44" t="s">
        <v>12</v>
      </c>
      <c r="B20" s="47">
        <f>E8</f>
        <v>5</v>
      </c>
    </row>
    <row r="21" spans="1:6" ht="15" customHeight="1" x14ac:dyDescent="0.25">
      <c r="A21" s="54" t="s">
        <v>13</v>
      </c>
      <c r="B21" s="61">
        <f ca="1">IF(B8="",TODAY(),B19-B20)</f>
        <v>46234</v>
      </c>
      <c r="F21" s="81" t="s">
        <v>81</v>
      </c>
    </row>
    <row r="23" spans="1:6" ht="15" customHeight="1" x14ac:dyDescent="0.25">
      <c r="A23" s="115" t="s">
        <v>14</v>
      </c>
      <c r="B23" s="116"/>
    </row>
    <row r="24" spans="1:6" ht="15" customHeight="1" x14ac:dyDescent="0.25">
      <c r="A24" s="55" t="s">
        <v>15</v>
      </c>
      <c r="B24" s="56" t="str">
        <f ca="1">IF($A$1="⚪ NO DATA/WAITING INPUT","⚪ No Data",$A$1)</f>
        <v>⚠️ SCENARIO 3 — EXPIRY</v>
      </c>
    </row>
    <row r="25" spans="1:6" ht="15" customHeight="1" x14ac:dyDescent="0.25">
      <c r="A25" s="55" t="s">
        <v>17</v>
      </c>
      <c r="B25" s="57" t="str">
        <f ca="1">IF($A$1="⚪ NO DATA/WAITING INPUT","Waiting for input",IF(ISNUMBER(SEARCH("SCENARIO 1",$A$1)),"No supply → RFQ",IF(ISNUMBER(SEARCH("SCENARIO 2",$A$1)),"BPA available → Create PR",IF(ISNUMBER(SEARCH("SCENARIO 3",$A$1)),"Stock expires before usage",IF(ISNUMBER(SEARCH("SCENARIO 4",$A$1)),"PO arrives after shortage",IF(ISNUMBER(SEARCH("SCENARIO 5",$A$1)),"Enough supply",""))))))</f>
        <v>Stock expires before usage</v>
      </c>
    </row>
    <row r="26" spans="1:6" ht="15" customHeight="1" x14ac:dyDescent="0.25">
      <c r="A26" s="58" t="s">
        <v>19</v>
      </c>
      <c r="B26" s="59" t="str">
        <f ca="1">IF($A$1="⚪ NO DATA/WAITING INPUT","",IF(ISNUMBER(SEARCH("SCENARIO 1",$A$1)),"✅ Create RFQ",IF(ISNUMBER(SEARCH("SCENARIO 2",$A$1)),"✅ Create PR",IF(ISNUMBER(SEARCH("SCENARIO 3",$A$1)),"✅ Create RFQ",IF(ISNUMBER(SEARCH("SCENARIO 4",$A$1)),"✅ Expedite delivery",IF(ISNUMBER(SEARCH("SCENARIO 5",$A$1)),"✅ No action",""))))))</f>
        <v>✅ Create RFQ</v>
      </c>
    </row>
    <row r="27" spans="1:6" ht="15" customHeight="1" x14ac:dyDescent="0.25">
      <c r="A27" s="82"/>
      <c r="B27" s="82"/>
    </row>
    <row r="28" spans="1:6" ht="15" customHeight="1" x14ac:dyDescent="0.25">
      <c r="A28" s="82"/>
      <c r="B28" s="82"/>
    </row>
    <row r="29" spans="1:6" ht="15" customHeight="1" x14ac:dyDescent="0.25">
      <c r="A29" s="82"/>
      <c r="B29" s="82"/>
    </row>
    <row r="30" spans="1:6" ht="15" customHeight="1" x14ac:dyDescent="0.25">
      <c r="A30" s="82"/>
      <c r="B30" s="82"/>
    </row>
    <row r="31" spans="1:6" ht="15" customHeight="1" x14ac:dyDescent="0.25">
      <c r="A31" s="82"/>
      <c r="B31" s="82"/>
    </row>
  </sheetData>
  <mergeCells count="6">
    <mergeCell ref="A23:B23"/>
    <mergeCell ref="A1:B1"/>
    <mergeCell ref="A2:B2"/>
    <mergeCell ref="D2:E2"/>
    <mergeCell ref="A3:B3"/>
    <mergeCell ref="A14:B14"/>
  </mergeCells>
  <pageMargins left="0.7" right="0.7" top="0.75" bottom="0.75" header="0.3" footer="0.3"/>
  <pageSetup orientation="portrait" r:id="rId1"/>
  <headerFooter>
    <oddHeader>&amp;L&amp;C&amp;R</oddHeader>
    <oddFooter>&amp;L&amp;C&amp;R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51AEF-388A-4308-BDE6-5308B1EAEC38}">
  <sheetPr codeName="Sheet7"/>
  <dimension ref="A2:E7"/>
  <sheetViews>
    <sheetView showGridLines="0" workbookViewId="0">
      <selection activeCell="A5" sqref="A5"/>
    </sheetView>
  </sheetViews>
  <sheetFormatPr defaultRowHeight="15" x14ac:dyDescent="0.25"/>
  <cols>
    <col min="1" max="1" width="29" bestFit="1" customWidth="1"/>
    <col min="2" max="2" width="16" bestFit="1" customWidth="1"/>
    <col min="3" max="3" width="26.28515625" customWidth="1"/>
    <col min="4" max="4" width="54.85546875" bestFit="1" customWidth="1"/>
    <col min="5" max="5" width="74.5703125" bestFit="1" customWidth="1"/>
  </cols>
  <sheetData>
    <row r="2" spans="1:5" x14ac:dyDescent="0.25">
      <c r="A2" s="67" t="s">
        <v>15</v>
      </c>
      <c r="B2" s="67" t="s">
        <v>19</v>
      </c>
      <c r="C2" s="67" t="s">
        <v>62</v>
      </c>
      <c r="D2" s="68" t="s">
        <v>67</v>
      </c>
      <c r="E2" s="68" t="s">
        <v>69</v>
      </c>
    </row>
    <row r="3" spans="1:5" x14ac:dyDescent="0.25">
      <c r="A3" s="64" t="s">
        <v>53</v>
      </c>
      <c r="B3" s="64" t="s">
        <v>58</v>
      </c>
      <c r="C3" s="64" t="s">
        <v>63</v>
      </c>
      <c r="D3" s="65" t="s">
        <v>68</v>
      </c>
      <c r="E3" s="65" t="s">
        <v>70</v>
      </c>
    </row>
    <row r="4" spans="1:5" x14ac:dyDescent="0.25">
      <c r="A4" s="64" t="s">
        <v>54</v>
      </c>
      <c r="B4" s="64" t="s">
        <v>59</v>
      </c>
      <c r="C4" s="64" t="s">
        <v>64</v>
      </c>
      <c r="D4" s="65" t="s">
        <v>71</v>
      </c>
      <c r="E4" s="65" t="s">
        <v>72</v>
      </c>
    </row>
    <row r="5" spans="1:5" x14ac:dyDescent="0.25">
      <c r="A5" s="64" t="s">
        <v>55</v>
      </c>
      <c r="B5" s="64" t="s">
        <v>58</v>
      </c>
      <c r="C5" s="64" t="s">
        <v>63</v>
      </c>
      <c r="D5" s="65" t="s">
        <v>74</v>
      </c>
      <c r="E5" s="65" t="s">
        <v>73</v>
      </c>
    </row>
    <row r="6" spans="1:5" x14ac:dyDescent="0.25">
      <c r="A6" s="64" t="s">
        <v>56</v>
      </c>
      <c r="B6" s="66" t="s">
        <v>60</v>
      </c>
      <c r="C6" s="64" t="s">
        <v>65</v>
      </c>
      <c r="D6" s="65" t="s">
        <v>60</v>
      </c>
      <c r="E6" s="65" t="s">
        <v>75</v>
      </c>
    </row>
    <row r="7" spans="1:5" x14ac:dyDescent="0.25">
      <c r="A7" s="66" t="s">
        <v>57</v>
      </c>
      <c r="B7" s="64" t="s">
        <v>61</v>
      </c>
      <c r="C7" s="64" t="s">
        <v>66</v>
      </c>
      <c r="D7" s="65" t="s">
        <v>76</v>
      </c>
      <c r="E7" s="65" t="s">
        <v>77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Scenario 1 - No PO No BPA</vt:lpstr>
      <vt:lpstr>Scenario 2 - BPA Available</vt:lpstr>
      <vt:lpstr>Scenario 3 - Expiry</vt:lpstr>
      <vt:lpstr>Scenario 4 - PO Late</vt:lpstr>
      <vt:lpstr>Scenario 5 - Healthy Stock</vt:lpstr>
      <vt:lpstr>Shortage Calculator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Vanessa Battung (CW)</cp:lastModifiedBy>
  <dcterms:created xsi:type="dcterms:W3CDTF">2026-05-22T02:58:11Z</dcterms:created>
  <dcterms:modified xsi:type="dcterms:W3CDTF">2026-07-31T02:42:26Z</dcterms:modified>
</cp:coreProperties>
</file>